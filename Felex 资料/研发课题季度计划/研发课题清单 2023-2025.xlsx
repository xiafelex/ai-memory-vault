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160"/>
  </bookViews>
  <sheets>
    <sheet name="研究" sheetId="1" r:id="rId1"/>
    <sheet name="课题创新点" sheetId="4" r:id="rId2"/>
    <sheet name="开发" sheetId="2" r:id="rId3"/>
    <sheet name="生产" sheetId="3" r:id="rId4"/>
    <sheet name="下拉菜单" sheetId="5" r:id="rId5"/>
    <sheet name="组案反馈单涉及课题-删减版" sheetId="10" r:id="rId6"/>
    <sheet name="数据备份-1030" sheetId="9" state="hidden" r:id="rId7"/>
  </sheets>
  <definedNames>
    <definedName name="_xlnm._FilterDatabase" localSheetId="0" hidden="1">研究!$A$1:$Q$325</definedName>
    <definedName name="_xlnm._FilterDatabase" localSheetId="1" hidden="1">课题创新点!$J:$J</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<sst xmlns="http://schemas.openxmlformats.org/spreadsheetml/2006/main" count="4454" uniqueCount="914">
  <si>
    <t>序号</t>
  </si>
  <si>
    <t>计划</t>
  </si>
  <si>
    <t>部门</t>
  </si>
  <si>
    <t>课题类型</t>
  </si>
  <si>
    <t>计划文件</t>
  </si>
  <si>
    <t>奖励文件</t>
  </si>
  <si>
    <t>公司战略课题</t>
  </si>
  <si>
    <t>研发责任人</t>
  </si>
  <si>
    <t>技术责任人</t>
  </si>
  <si>
    <t>课题状态</t>
  </si>
  <si>
    <t>研发团队</t>
  </si>
  <si>
    <t>七级课题</t>
  </si>
  <si>
    <t>内容</t>
  </si>
  <si>
    <t>成果形式</t>
  </si>
  <si>
    <t>1级课题</t>
  </si>
  <si>
    <t>六级课题</t>
  </si>
  <si>
    <t>2023年第3季度</t>
  </si>
  <si>
    <t>BIM技术研究室</t>
  </si>
  <si>
    <t>计划研究型</t>
  </si>
  <si>
    <t>BIM 研〔2023〕7号</t>
  </si>
  <si>
    <t>未完成</t>
  </si>
  <si>
    <t>是</t>
  </si>
  <si>
    <t>完成50%</t>
  </si>
  <si>
    <t>管道变更出图与云平台，变更周报信息同步</t>
  </si>
  <si>
    <t>基于神经网络的管道三维数字孪生</t>
  </si>
  <si>
    <t>管道变更快速化建模出图流程研究</t>
  </si>
  <si>
    <t>顾文颖</t>
  </si>
  <si>
    <t>项目自主变更提前出图</t>
  </si>
  <si>
    <t>完成70%</t>
  </si>
  <si>
    <t>吊装卸车、摘钩、翻转真实状态模拟</t>
  </si>
  <si>
    <t>基于UE5的大型吊装模拟技术研究</t>
  </si>
  <si>
    <t>完成10%</t>
  </si>
  <si>
    <t>已有方案大型吊车模型真实比例还原</t>
  </si>
  <si>
    <t>吴俣</t>
  </si>
  <si>
    <t>上线模型轻量化平台基础数据统计模块bimface</t>
  </si>
  <si>
    <t>焊接模型轻量化上云技术研究</t>
  </si>
  <si>
    <t>完成40%</t>
  </si>
  <si>
    <t>带实体焊缝与材料基础信息的模型上云bimface</t>
  </si>
  <si>
    <t>技术转移工作室</t>
  </si>
  <si>
    <t>试压包划分及资料编制单元定额成本归集</t>
  </si>
  <si>
    <t>基于智能决策的管道成本价值工程</t>
  </si>
  <si>
    <t>技术转移服务标准化产品单元研究</t>
  </si>
  <si>
    <t>发布试压包产品标准单元服务及定价宣传册</t>
  </si>
  <si>
    <t>数据集约工作组</t>
  </si>
  <si>
    <t>BIM 研〔2023〕13 号</t>
  </si>
  <si>
    <t>第一阶段</t>
  </si>
  <si>
    <t>运用</t>
  </si>
  <si>
    <t>ERP焊接数据集约任务有效性自动审批</t>
  </si>
  <si>
    <t>基于RPA的焊接数据集约技术研究</t>
  </si>
  <si>
    <t>定时获取钉钉机器人信息推送至微信群</t>
  </si>
  <si>
    <t>数据交互研究组</t>
  </si>
  <si>
    <t>自动焊接信息与数据库的互通报送</t>
  </si>
  <si>
    <t>基于机器学习的管道生产高级排程</t>
  </si>
  <si>
    <t>基于微信小程序的数据集约技术研究</t>
  </si>
  <si>
    <t>自动焊接过程数据自动采集</t>
  </si>
  <si>
    <t>多摄像头人数自动统计</t>
  </si>
  <si>
    <t>基于DataV的焊接IoT数据交互技术研究</t>
  </si>
  <si>
    <t>储备2类</t>
  </si>
  <si>
    <t>两到三轮引导式对话实现焊接数据查询问答</t>
  </si>
  <si>
    <t>ActionCard实现对焊接状态的自动问答</t>
  </si>
  <si>
    <t>基于钉钉机器人的焊接数据交互技术研究</t>
  </si>
  <si>
    <t>自动焊接信息小程序报送</t>
  </si>
  <si>
    <t>数据质量工作组</t>
  </si>
  <si>
    <t>部分完成</t>
  </si>
  <si>
    <t>焊接数据质量分析日报和周报设计和报送</t>
  </si>
  <si>
    <t>焊接数据质量分析技术研究</t>
  </si>
  <si>
    <t>焊接数据变更校验系统中间库</t>
  </si>
  <si>
    <t>焊接变更数据分析技术研究</t>
  </si>
  <si>
    <t>焊接数据变更分析日报和周报设计和报送</t>
  </si>
  <si>
    <t>完成</t>
  </si>
  <si>
    <t>焊接数据质量校验系统中间库</t>
  </si>
  <si>
    <t>数据中台研究组</t>
  </si>
  <si>
    <t>指定工区可焊接寸口推送</t>
  </si>
  <si>
    <t>延迟上线</t>
  </si>
  <si>
    <t>指定工区每日焊接材料消耗量推送</t>
  </si>
  <si>
    <t>基于混合优化的管道材料供应调度</t>
  </si>
  <si>
    <t>基于idf工区的焊接材料匹配技术研究</t>
  </si>
  <si>
    <t>自动焊接研究室</t>
  </si>
  <si>
    <t>完成5%</t>
  </si>
  <si>
    <t>仪征项目2.9mmS30408焊接达产</t>
  </si>
  <si>
    <t>2.9mm薄壁不锈钢自动焊技术研究</t>
  </si>
  <si>
    <t>12CrMoV埋弧焊焊接达产</t>
  </si>
  <si>
    <t>12CrMoV自动焊技术研究</t>
  </si>
  <si>
    <t>设备采购前焊评制作与试验</t>
  </si>
  <si>
    <t>基于视觉识别的管道自动组对焊接</t>
  </si>
  <si>
    <t>带视觉识别TIG打底自动焊技术研究</t>
  </si>
  <si>
    <t>带视觉识别TIG打底自动焊技术研究前期方案考察调研</t>
  </si>
  <si>
    <t>氢气混合气焊评制作与试验</t>
  </si>
  <si>
    <t>12CrMoV焊评制作与试验</t>
  </si>
  <si>
    <t>2023年第4季度</t>
  </si>
  <si>
    <t>BIM研〔2023〕12号</t>
  </si>
  <si>
    <t>建筑BIM深化设计工程量技术</t>
  </si>
  <si>
    <t>化工建筑BIM深化设计</t>
  </si>
  <si>
    <t>裙座加固设计与有限元验算</t>
  </si>
  <si>
    <t>设备吊装计算与仿真技术</t>
  </si>
  <si>
    <t>悬吊盖板设计与有限元验算</t>
  </si>
  <si>
    <t>设备吊耳设计与有限元验算</t>
  </si>
  <si>
    <t>完成20%</t>
  </si>
  <si>
    <t>建筑BIM深化设计施工图技术</t>
  </si>
  <si>
    <t>化工建筑 BIM 深化设计技术研究</t>
  </si>
  <si>
    <t>办公建筑BIM深化设计</t>
  </si>
  <si>
    <t>idf/pcf模型变更重建技术</t>
  </si>
  <si>
    <t>管道三维变更设计技术研究</t>
  </si>
  <si>
    <t>idf/pcf模型变更修改技术</t>
  </si>
  <si>
    <t>管道三维模型变更设计技术研究</t>
  </si>
  <si>
    <t>未开始</t>
  </si>
  <si>
    <t>公用空间BIM深化设计</t>
  </si>
  <si>
    <t>化工建筑BIM深化设计技术研究</t>
  </si>
  <si>
    <t>深基坑钢板桩支护施工可视化模拟</t>
  </si>
  <si>
    <t>基于 UE 的施工可视化模拟技术研究</t>
  </si>
  <si>
    <t>仪表气源导压元件三维深化设计</t>
  </si>
  <si>
    <t>管道三维深化设计技术研究</t>
  </si>
  <si>
    <t>完成30%</t>
  </si>
  <si>
    <t>消防喷淋系统管道三维深化设计</t>
  </si>
  <si>
    <t>BIM 研〔2024〕1 号</t>
  </si>
  <si>
    <t>实践</t>
  </si>
  <si>
    <t>给排污水埋地管道三维深化设计</t>
  </si>
  <si>
    <t>应用</t>
  </si>
  <si>
    <t>大型塔式设备穿衣戴帽可视化模拟</t>
  </si>
  <si>
    <t>管道三维作业空间划分技术</t>
  </si>
  <si>
    <t>管道三维工作包分区技术</t>
  </si>
  <si>
    <t>管道三维冲洗吹扫划分技术</t>
  </si>
  <si>
    <t>管道三维管段打包划分技术</t>
  </si>
  <si>
    <t>管道三维材料编码RPA赋值技术研究</t>
  </si>
  <si>
    <t>管道三维材料数据编码技术研究</t>
  </si>
  <si>
    <t>管道焊接通用方案标准化</t>
  </si>
  <si>
    <t>管道方案标准化技术</t>
  </si>
  <si>
    <t>有毒有害管道方案标准化</t>
  </si>
  <si>
    <t>管道施工通用方案标准化</t>
  </si>
  <si>
    <t>管道三维试压快速划分技术</t>
  </si>
  <si>
    <t>管道三维预制焊口划分技术</t>
  </si>
  <si>
    <t>管道三维材料编码设计建库技术</t>
  </si>
  <si>
    <t>管道三维材料数据编码技术</t>
  </si>
  <si>
    <t>地管与土建结构模型审查技术</t>
  </si>
  <si>
    <t>管道三维模型审查技术</t>
  </si>
  <si>
    <t>管道与仪表元件模型审查技术</t>
  </si>
  <si>
    <t>管道与钢构支架模型审查技术</t>
  </si>
  <si>
    <t>管道与设备接口模型审查技术</t>
  </si>
  <si>
    <t>流程图与施工图模型审查技术</t>
  </si>
  <si>
    <t>管道进度测量数据集约技术</t>
  </si>
  <si>
    <t>管道进度数据集约技术</t>
  </si>
  <si>
    <t>数据变更指挥舱设计与部署</t>
  </si>
  <si>
    <t>数据指挥舱设计与开发</t>
  </si>
  <si>
    <t>部署</t>
  </si>
  <si>
    <t>研发数据指挥舱设计与部署</t>
  </si>
  <si>
    <t>数字员工指挥舱设计与部署</t>
  </si>
  <si>
    <t>BIM 研〔2024〕4 号</t>
  </si>
  <si>
    <t>基于RPA机器人的无损委托推送交互</t>
  </si>
  <si>
    <t>基于RPA机器人的三维状态推送交互</t>
  </si>
  <si>
    <t>数据算法研究组</t>
  </si>
  <si>
    <t>工区可焊接量算法</t>
  </si>
  <si>
    <t>基于idf工区的材料匹配算法</t>
  </si>
  <si>
    <t>试压包可焊接量算法</t>
  </si>
  <si>
    <t>管线安装可焊接量算法</t>
  </si>
  <si>
    <t>idf文件焊缝架构解析算法</t>
  </si>
  <si>
    <t>idf/pcf文件架构解析算法</t>
  </si>
  <si>
    <t>idf文件材料架构解析算法</t>
  </si>
  <si>
    <t>BIM 研〔2024〕7 号</t>
  </si>
  <si>
    <t>预制管段可焊接量算法</t>
  </si>
  <si>
    <t>焊接变更数据工作模式研究</t>
  </si>
  <si>
    <t>焊接变更数据分析框架研究与应用</t>
  </si>
  <si>
    <t>工区状态指挥舱设计</t>
  </si>
  <si>
    <t>储备1类</t>
  </si>
  <si>
    <t>材料消耗数据管理小程序</t>
  </si>
  <si>
    <t>基于微信小程序的焊接管理平台</t>
  </si>
  <si>
    <t>机动焊接数据管理小程序</t>
  </si>
  <si>
    <t>A106地管焊接工艺研究与实践</t>
  </si>
  <si>
    <t>全位置气保机动焊技术研究</t>
  </si>
  <si>
    <t>TP321焊接工艺研究与项目实践</t>
  </si>
  <si>
    <t>固定式埋弧机动焊技术研究</t>
  </si>
  <si>
    <t>混凝土筒仓滑模施工可视化模拟</t>
  </si>
  <si>
    <t>基于UE的施工可视化模拟技术</t>
  </si>
  <si>
    <t>支架焊接机器人技术研究</t>
  </si>
  <si>
    <t>自动焊接机器人技术研究</t>
  </si>
  <si>
    <t>带坡口气源管焊接工艺研究与项目实践</t>
  </si>
  <si>
    <t>封闭式自融焊接技术研究</t>
  </si>
  <si>
    <t>A106火炬焊接工艺研究与实践</t>
  </si>
  <si>
    <t>45mmA335P11焊接工艺研究与实践</t>
  </si>
  <si>
    <t>45mmA335P22焊接工艺研究与实践</t>
  </si>
  <si>
    <t>2024年第1季度</t>
  </si>
  <si>
    <t>BIM 研〔2024〕2 号</t>
  </si>
  <si>
    <t>小型装配式一体化模块支架设计</t>
  </si>
  <si>
    <t>基于现场焊缝的脚手架参数化建模二次开发</t>
  </si>
  <si>
    <t>3D高斯辐射场模型重建技术</t>
  </si>
  <si>
    <t>前瞻研究及流程贯通</t>
  </si>
  <si>
    <t>集装箱管段装箱模拟技术研究</t>
  </si>
  <si>
    <t>集装箱装卸工装设计研究</t>
  </si>
  <si>
    <t>第二阶段</t>
  </si>
  <si>
    <t>基于Cesium的空间场景渲染技术研究与应用</t>
  </si>
  <si>
    <t>基于点云模型的化工改造模拟技术研究与应用</t>
  </si>
  <si>
    <t>气源导压元件三维深化设计研究</t>
  </si>
  <si>
    <t>管道三维深化设计技术</t>
  </si>
  <si>
    <t>三维分区快速着色技术研究与应用</t>
  </si>
  <si>
    <t>管道图纸材料OCR识别算法</t>
  </si>
  <si>
    <t>管道三维材料编码设计技术研究与应用</t>
  </si>
  <si>
    <t>部署开发及成果转化</t>
  </si>
  <si>
    <t>基于水印相机的作业票交互</t>
  </si>
  <si>
    <t>水印相机数据库交互技术</t>
  </si>
  <si>
    <t>基于水印相机的电子出门证交互</t>
  </si>
  <si>
    <t>管道动态喷涂二维码设计与实践</t>
  </si>
  <si>
    <t>预制管段溯源技术</t>
  </si>
  <si>
    <t>钉钉日志爬取及词云生成交互</t>
  </si>
  <si>
    <t>基于RPA机器人的三维状态推送交互技术</t>
  </si>
  <si>
    <t>基于水印相机的安全巡检交互</t>
  </si>
  <si>
    <t>基于RPA机器人的管段排程推送交互研究</t>
  </si>
  <si>
    <t>打通流程</t>
  </si>
  <si>
    <t>数据指挥舱焊接数据同步技术研究与应用</t>
  </si>
  <si>
    <t>数据指挥舱交互技术</t>
  </si>
  <si>
    <t>2023年第4季度;2024年第1季度</t>
  </si>
  <si>
    <t>BIM研〔2023〕12号;BIM 研〔2024〕2 号</t>
  </si>
  <si>
    <t>基于RPA机器人的无损排程推送交互研究</t>
  </si>
  <si>
    <t>基于数字化平台的多模态数据归集技术</t>
  </si>
  <si>
    <t>基于水印相机的焊缝、管段检查功能</t>
  </si>
  <si>
    <t>基于遗传算法的现场焊缝排程排产技术</t>
  </si>
  <si>
    <t>材料描述编码神经网络模型训练</t>
  </si>
  <si>
    <t>管段模型编号更新技术研究与应用</t>
  </si>
  <si>
    <t>基于工区的排程排产技术</t>
  </si>
  <si>
    <t>管段材料匹配贪心算法研究与应用</t>
  </si>
  <si>
    <t>基于工区的材料匹配技术</t>
  </si>
  <si>
    <t>预制管段派工单算法研究与应用</t>
  </si>
  <si>
    <t>管段二次深度预制算法研究与应用</t>
  </si>
  <si>
    <t>idf材料唯一编码更新算法研究与应用</t>
  </si>
  <si>
    <t>idf/pcf文件架构解析技术</t>
  </si>
  <si>
    <t>研发课题投入归集优化研究</t>
  </si>
  <si>
    <t>宜搭与氚云移动管理平台优化</t>
  </si>
  <si>
    <t>基于目标检测的管段识别算法</t>
  </si>
  <si>
    <t>基于目标检测的人员动态算法</t>
  </si>
  <si>
    <t>双相钢埋弧焊接工艺研究</t>
  </si>
  <si>
    <t>固定式埋弧机动焊技术</t>
  </si>
  <si>
    <t>N08825埋弧焊接工艺研究</t>
  </si>
  <si>
    <t>应用迭代及体验提升</t>
  </si>
  <si>
    <t>TP304焊接工艺研究与项目实践</t>
  </si>
  <si>
    <t>TP321埋弧焊接工艺研究与实践</t>
  </si>
  <si>
    <t>TP316L埋弧焊接工艺研究与实践</t>
  </si>
  <si>
    <t>TP304埋弧焊接工艺研究与实践</t>
  </si>
  <si>
    <t>2024年第2季度</t>
  </si>
  <si>
    <t>BIM 研〔2024〕5 号</t>
  </si>
  <si>
    <t>基于Dynamo的脚手架参数化建模二次开发</t>
  </si>
  <si>
    <t>Dynamo参数化建模</t>
  </si>
  <si>
    <t>2024年第1季度;2024年第2季度</t>
  </si>
  <si>
    <t>BIM 研〔2024〕2 号;BIM 研〔2024〕5 号</t>
  </si>
  <si>
    <t>基于UE5波函数坍塌算法</t>
  </si>
  <si>
    <t>UE5三维高斯辐射场设备模型重建</t>
  </si>
  <si>
    <t>基于Houdini脚手架参数化建模</t>
  </si>
  <si>
    <t>深度预制可视化新媒体传播策划</t>
  </si>
  <si>
    <t>阀门及特殊件返资参数化模型调整</t>
  </si>
  <si>
    <t>管道idf逆向变更建模</t>
  </si>
  <si>
    <t>Revit二次开发脚手架参数化建模</t>
  </si>
  <si>
    <t>Dynamo插件模块运用</t>
  </si>
  <si>
    <t>氚云管道赢得值与实际成本归集</t>
  </si>
  <si>
    <t>氚云管道变更多部门协作管理</t>
  </si>
  <si>
    <t>BIMFACE模型着色同步技术</t>
  </si>
  <si>
    <t>管道材料编码实体识别与模型训练</t>
  </si>
  <si>
    <t>基于混合线性规划的管段材料全局匹配</t>
  </si>
  <si>
    <t>管道材料堆场低库存排产算法设计</t>
  </si>
  <si>
    <t>PCF文件架构解析与研究</t>
  </si>
  <si>
    <t>管道单线图材料OCR识别与训练</t>
  </si>
  <si>
    <t>基于GNN的试压包编制算法</t>
  </si>
  <si>
    <t>管道深度预制算法安装导向迭代优化</t>
  </si>
  <si>
    <t>满足时间组批点口与管线覆盖委托</t>
  </si>
  <si>
    <t>管段装箱排产匹配算法</t>
  </si>
  <si>
    <t>管道支架编码与预制排程</t>
  </si>
  <si>
    <t>管道材料编码正则表达式重构</t>
  </si>
  <si>
    <t>OSBL管道排产算法</t>
  </si>
  <si>
    <t>设备管线优先排程算法</t>
  </si>
  <si>
    <t>碳钢管道防腐预制排产</t>
  </si>
  <si>
    <t>基于遗传算法管道预制派工</t>
  </si>
  <si>
    <t>氚云管道脚手架多部门协作数据集约</t>
  </si>
  <si>
    <t>氚云作业票管理</t>
  </si>
  <si>
    <t>宜搭多平台数据准备与数据服务</t>
  </si>
  <si>
    <t>氚云管道防腐多部门协作数据集约</t>
  </si>
  <si>
    <t>氚云管道验收多部门协作数据集约</t>
  </si>
  <si>
    <t>管道质量与变更排产协作</t>
  </si>
  <si>
    <t>氚云管道支架多部门协作数据集约</t>
  </si>
  <si>
    <t>氚云安全巡检管理与数据指挥舱</t>
  </si>
  <si>
    <t>基于排产单焊接日报数字化协作</t>
  </si>
  <si>
    <t>基于连接流的排产单数据贯通管理</t>
  </si>
  <si>
    <t>2024年第3季度</t>
  </si>
  <si>
    <t>BIM 研〔2024〕6 号</t>
  </si>
  <si>
    <t>待定</t>
  </si>
  <si>
    <t>基于DXF的脚手架参数化生成</t>
  </si>
  <si>
    <t>高斯模型整合与测距研究</t>
  </si>
  <si>
    <t>完成80%</t>
  </si>
  <si>
    <t>3DVIAComposer动画作业指导书</t>
  </si>
  <si>
    <t>管道单线图材料识别与训练</t>
  </si>
  <si>
    <t>30%与60%三维模型审查流程优化</t>
  </si>
  <si>
    <t>基于事件的变更管理工作流</t>
  </si>
  <si>
    <t>2024年第2季度;2024年第3季度</t>
  </si>
  <si>
    <t>BIM 研〔2024〕5 号;BIM 研〔2024〕6 号</t>
  </si>
  <si>
    <t>基于管道材料唯一编码多项目成本集约</t>
  </si>
  <si>
    <t>钉钉事件流与任务分配挂接</t>
  </si>
  <si>
    <t>基于深度优先搜索试压包自动编制</t>
  </si>
  <si>
    <t>试压包排产与匹配</t>
  </si>
  <si>
    <t>分区装箱单设备与管段包预排程</t>
  </si>
  <si>
    <t>管段装箱排产与匹配</t>
  </si>
  <si>
    <t>基于拓扑网络的现场焊缝预排程</t>
  </si>
  <si>
    <t>现场焊接排产与匹配</t>
  </si>
  <si>
    <t>管道材料反推剩余工作</t>
  </si>
  <si>
    <t>特殊管道材料精确匹配</t>
  </si>
  <si>
    <t>试压包氚云排产流程</t>
  </si>
  <si>
    <t>氚云设备安装多部门协作数据集约</t>
  </si>
  <si>
    <t>氚云管道支架安装协作数据集约</t>
  </si>
  <si>
    <t>氚云管道法兰与紧固件协作数据集约</t>
  </si>
  <si>
    <t>装箱排产氚云流程</t>
  </si>
  <si>
    <t>氚云安全人工时与成本协同归集</t>
  </si>
  <si>
    <t>完成60%</t>
  </si>
  <si>
    <t>基于Transformer的命名实体识别优化</t>
  </si>
  <si>
    <t>激光焊缝模型与运动坐标整合</t>
  </si>
  <si>
    <t>视觉激光焊缝跟踪研究与训练</t>
  </si>
  <si>
    <t>视觉相机组对环境模型生成与训练</t>
  </si>
  <si>
    <t>六轴机械臂型钢支架示教焊接</t>
  </si>
  <si>
    <t>基于yolov8的管段材料材料识别训练</t>
  </si>
  <si>
    <t>基于yolov5的工种识别与数据可视化</t>
  </si>
  <si>
    <t>基于PFTrack相机反求实景合成</t>
  </si>
  <si>
    <t>2024年第4季度</t>
  </si>
  <si>
    <t>BIM 研〔2024〕9 号</t>
  </si>
  <si>
    <t>殷玉善</t>
  </si>
  <si>
    <t>新增</t>
  </si>
  <si>
    <t>基于单线图的变更模型重建与基础库更新</t>
  </si>
  <si>
    <t>吴昊</t>
  </si>
  <si>
    <t>刘念</t>
  </si>
  <si>
    <t>基于广联达模块的单线图OCR材料识别及氚云流程数字化研究</t>
  </si>
  <si>
    <t>管理创新研究室</t>
  </si>
  <si>
    <t>BIM 研〔2025〕4 号</t>
  </si>
  <si>
    <t>尤芳</t>
  </si>
  <si>
    <t>韩佳诺</t>
  </si>
  <si>
    <t>2024年度片区年会策划</t>
  </si>
  <si>
    <t>凝聚向心及文化建设</t>
  </si>
  <si>
    <t>文化长廊设计二阶段-团队建设与荣誉展板</t>
  </si>
  <si>
    <t>人才培养及知识图谱</t>
  </si>
  <si>
    <t>蔡正荣</t>
  </si>
  <si>
    <t>张威</t>
  </si>
  <si>
    <t>管道图纸工程量核算数字化流程模块研究</t>
  </si>
  <si>
    <t>陈永奇</t>
  </si>
  <si>
    <t>孙书志</t>
  </si>
  <si>
    <t>以反应框架为样本探索管道深度服务支持</t>
  </si>
  <si>
    <t>伍冰艳</t>
  </si>
  <si>
    <t>美思德进度计划人工时赢得值联动</t>
  </si>
  <si>
    <t>管道支架材料代码设计与参数化算量研究</t>
  </si>
  <si>
    <t>成哲辉</t>
  </si>
  <si>
    <t>徐正玲</t>
  </si>
  <si>
    <t>装置工区动态可安装焊接同步技术研究</t>
  </si>
  <si>
    <t>idf元件空间不匹配解决方案研究</t>
  </si>
  <si>
    <t>基于拓扑关系的试压包快速划分研究</t>
  </si>
  <si>
    <t>沙雪平</t>
  </si>
  <si>
    <t>钉钉焊接日报与数据质量数字化核对流程研究</t>
  </si>
  <si>
    <t>氚云焊接日报数据集约及质检</t>
  </si>
  <si>
    <t>董如明</t>
  </si>
  <si>
    <t>管道安装排产单设计与散件材料数字化流程应用</t>
  </si>
  <si>
    <t>管道材料库存追溯与出入库数字化</t>
  </si>
  <si>
    <t>管道出入库与盘库氚云数字化</t>
  </si>
  <si>
    <t>2025年第4季度</t>
  </si>
  <si>
    <t>基于材料代码的管道进度测量成本价值测算</t>
  </si>
  <si>
    <t>1. 研究一种管道进度测量、赢得价值和赢得成本的数据分析同步技术
2. 根据材料代码挂接合同清单综合单价、施工费、材料费、机械费等，以及分包的价格信息，并同步更新材料代码库
3. 按照焊接、支架、阀门、无损、试压、冲洗吹扫、移交等不同阶段权重，对进度测量工程量单位进行权重阶段登记转换
4. 挂接定额人工、实际考勤人工、以及实际工程量转换人工信息，获取计划人工时、赢得人工时、实际人工时进度测量
5. 将综合单价按照权重拆分，根据数字化平台不同的数据信息，获取本阶段完成工程量的实际赢得价值，以及对应的实际成本价值
6. 实现不超过一周一次的CPI/SPI等进度测量和成本价值相关信息推送</t>
  </si>
  <si>
    <t>1. 3-5分钟的介绍视频
2. 不低于1个月的数据推送记录
3. 氚云相关模块和仪表盘</t>
  </si>
  <si>
    <t>方详</t>
  </si>
  <si>
    <t>氚云质量巡检与试压包尾项流程模块研究</t>
  </si>
  <si>
    <t>基于缺料单的各阶段库存状态表数字化</t>
  </si>
  <si>
    <t>管段和直管寻料盘库单设计及氚云数字化研究</t>
  </si>
  <si>
    <t>项目服务工作室</t>
  </si>
  <si>
    <t>生物柴油项目系统移交策划及流程数字化</t>
  </si>
  <si>
    <t>基于目标检测的焊缝无损底片缺陷识别研究</t>
  </si>
  <si>
    <t>2025年第1季度</t>
  </si>
  <si>
    <t>BIM研〔2025〕2号</t>
  </si>
  <si>
    <t>模块化建造方案</t>
  </si>
  <si>
    <t>1. 掌握模块化建造方案、模块称重方案的框架结构
2. 掌握甲方关于模块建造方案、模块称重方案的技术要求
3. 将方案中的主要工序通过虚幻引擎模拟进行可视化展示
4. 方案要点总结至知识库
5. 以重庆巴斯夫、伊拉克巴克拉模块化为实践，完成可交付的建造方案
6. Temporary Steels for Construction
7. Construction Procedure
8. Support Layout</t>
  </si>
  <si>
    <t>运输加固结构设计</t>
  </si>
  <si>
    <t>1. 掌握模块运输梁的设计和计算
2. 掌握模块海运加固构件的设计和计算
3. 掌握模块陆地运输构件的设计和计算
4. 掌握模块吊装翻身的加固设计和计算</t>
  </si>
  <si>
    <t>正向三维设计数字化材料与综合单价变更管理</t>
  </si>
  <si>
    <t>1. 将材料代码融入深化设计模型
2. 每次变更，提供基于材料代码的材料变化情况
3. 根据最终场景显示为基于单管线材料代码的的不同版次变化情况倒推对应氚云模块的构建
4. 建立RPA+人工结合的识别广联达材料的氚云对比流程
5. 材料代码变化链接到费用模块，并形成费用变化氚云列表</t>
  </si>
  <si>
    <t>管理创新</t>
  </si>
  <si>
    <t>技术中心宣传视频阶段一排产技术介绍</t>
  </si>
  <si>
    <t>1. 以排产技术为核心完成技术中心宣传视频初稿
2. 结合第六届工程建设BIM大赛视频要求，更新马来西亚漫游模型
3. 完成排产各环节软件操作录制及剪辑
4. 完成排产各环节人物和实际操作影像录制及剪辑
5. 形成初版视频</t>
  </si>
  <si>
    <t>基于材料代码历史项目价格分析</t>
  </si>
  <si>
    <t>1. 选取不低于10个项目的材料代码库，生成项目材料代码
2. 设计材料代码两种形式壁厚的映射关系
3. 完善氚云表单，填入每个材料代码的石化定额和不少于2个省份定额，以及10个项目的单价</t>
  </si>
  <si>
    <t>石化信息化工程研究中心</t>
  </si>
  <si>
    <t>基于Cursor的材料代码程序设计</t>
  </si>
  <si>
    <t>1. 部署Cursor，探索Agent/Composer功能，并通过Cursor实现以下基本场景
2. 选择生成排产单前的某一代码场景，生成单一微信小程序
3. 选择生成排产单前的某一代码场景，生成单一exe程序
4. 选择生成排产单前的某一代码场景，生成单一BS端</t>
  </si>
  <si>
    <t>石化智慧焊接工程技术研究中心</t>
  </si>
  <si>
    <t>Deekseek 671B量化版本本地部署</t>
  </si>
  <si>
    <t>1. 探索Unsloth/Ktransformer等不同量化程度和方法的本地部署思路
2. 测试在4070TiSuper上的小参数化模型的部署路径
3. 根据本地部署思路来购置满足671B本地部署的最优性价比硬件配置
4. 模型允许基于671B的量化版本，且需要满足潜在的保密环境要求
5. 测试基本编程能力和既有的排产流程代码生成</t>
  </si>
  <si>
    <t>焊接日报设计与视觉识别</t>
  </si>
  <si>
    <t>1. 设计方便进行视觉识别的四角定位点和数字格
2. 建立模型识别和OCR识别两种技术路线
2. 完成自动化录入氚云流程
3. 训练自动识别率不低于85%</t>
  </si>
  <si>
    <t>项目服务中心</t>
  </si>
  <si>
    <t>防腐油漆系统排产管理</t>
  </si>
  <si>
    <t>1. 防腐排产实现100平、200平、300平为单位的排产单
2. 同一个油漆系统在一个排产单
3. 排产单和材料堆叠联动，尽可能选择同区域内的材料
4. 排产单面积和寸口映射</t>
  </si>
  <si>
    <t>采购定尺数据余量分析</t>
  </si>
  <si>
    <t>1. 材料预算中明确管道定尺长度，以及不同定尺的根数
2. 根据不同定尺，区分计划堆放位置
3. 解决定尺后的余料的分批采购和二次补充问题</t>
  </si>
  <si>
    <t>1. 派遣相关团队，完成第一季度项目对于移交阶段的支持任务
2. 根据具体任务明细，完成对于模块的搭建
3. 将日常任务融入模块的运用中
4. 拟定第二季度项目的潜在需求和分析报告</t>
  </si>
  <si>
    <t>数据质量与影像分析流程服务价格及绩效体系优化</t>
  </si>
  <si>
    <t>1. 从产量、模型训练、质量严重性三个纬度分析，统计数据质量种类，以及权重
2. 仪表盘显示所有焊缝数据、无问题的焊缝数据，以及不同种类的焊缝质量数据，以寸口和焊缝为单位
3. 将一元每寸的价格，转换成录入0.1元，质量问题X元的收费标准
4. 建立和影像相关的数据质量工作
5. 建立更加详细的预制焊缝问题的登记流程
6. 建立数据质量组的绩效奖励机制</t>
  </si>
  <si>
    <t>智能加工基地</t>
  </si>
  <si>
    <t>材料预算采购与出入库数据联动基础库</t>
  </si>
  <si>
    <t>1. 建立马来西亚项目管道材料涉及到的一物一码
2. 一物一码建立吨位、表面积、寸口数据基础库
3. 收集马来西亚项目所有涉及到的材料预算，供应商的采购订单和材料到货单、付款单、防腐委托单、结算单
4. 根据材料入库单挂接氚云基础库，自动生成入库单的理论重量、面积，与实际入库单重量对比，每个供应商不少于10份进行测试
5. 根据防腐委托单挂接基础库测试理论面积，与防腐实际结算单进行对比，大/中/小的管件和直管选取各10份单据测试</t>
  </si>
  <si>
    <t>1. 材料采购数据吨位、面积、寸口联动
2. 材料采购材料代码联动
3. 材料代码与材料验收和放行联动
4. 采购数据、出入库数据、项目MTO联动</t>
  </si>
  <si>
    <t>材料到货出场地磅门禁影像联动</t>
  </si>
  <si>
    <t>1. 完成地磅的设计和部署、询价
2. 地磅实现和钉钉数据绑定
3. 地磅实现和影像数据绑定
4. 完成预制场出入车辆的门禁改造</t>
  </si>
  <si>
    <t>1. 完成地磅的设计和部署、询价
2. 地磅实现和钉钉数据绑定
3. 地磅实现和影像数据绑定
4. 完成预制场出入车辆的门禁改造
5. 远程推送人为开门的次数，作为绩效评定
6. 完成出门证，入场证的流程与门禁的绑定</t>
  </si>
  <si>
    <t>材料进场堆放设计与卸货策略</t>
  </si>
  <si>
    <t>1. 设计原材料堆放场地，细化每个场地的面积，功能和编号，理论堆放量
3. 联动出入库记录，可以每日推送每个区域的空余面积
4. 设计流程，实现材料进场前，输入到货数据，推送每个区域的堆放地点
5. 联动门禁，未明确堆放位置的材料不允许卸货</t>
  </si>
  <si>
    <t>1. 设计原材料堆放场地，细化每个场地的面积，功能和编号
2. 安装原材料堆放场地的摄像头，实现摄像头对于区域状态的覆盖
3. 设计区域状态视觉识别算法，可以每日推送每个区域的空余面积
4. 设计流程，实现材料进场前，输入到货数据，推送每个区域的堆放地点
5. 联动门禁，未明确堆放位置的材料不允许卸货</t>
  </si>
  <si>
    <t>预制成品堆放设计与中转策略</t>
  </si>
  <si>
    <t>1.根据平面布置图对原材料卸货区域和预制成品中转区域进行设计
2.优先完成福建古雷和南京加工基地的方案
3. 讨论、沟通形成每个区域的合适的模块化面积，例如 12 米*5 米，方便每个项目都可以进行组合
4. 优化排产单策略，在预制排产单阶段，就明确管段的堆放编号</t>
  </si>
  <si>
    <t>1. 设计预制成品材料堆放场地，细化每个场地的面积，功能和编号
2. 安装原材料堆放场地的摄像头，实现摄像头对于区域状态的覆盖
3. 设计区域状态视觉识别算法，可以每日推送每个区域的空余面积
4. 设计流程，实现焊接排产前，推送每个预制管段的堆放地点
5. 解决无损检测中转的关系</t>
  </si>
  <si>
    <t>立体堆叠支架与打包框架优化</t>
  </si>
  <si>
    <t>1. 实现散货包装、集装箱包装的标准化包装，每个不超过5种
2. 计算每个标准化包装的承载力、原材料和成本
3. 将打包框架半成品和预制中转场地联动，让半成品成为中转场地的分区栏杆
4. 设计2层和3层的中转场地堆放框架</t>
  </si>
  <si>
    <t>材料报验炉批号数字化</t>
  </si>
  <si>
    <t>1. 炉批号与焊接日报联动
2. 炉批号与材料报验流程联动
3. 材料报验实现技术转移
4. 炉批号与材料验收、材料付款、出入库数据联动</t>
  </si>
  <si>
    <t>下料损耗利旧回收控制</t>
  </si>
  <si>
    <t>1. 在目前排产单基础上，增加下料排产和损耗控制算法
2. 解决下料过程中的炉批号快速移植问题
3. 建立下料问题和回收的问题登记和解决流程</t>
  </si>
  <si>
    <t>中心办公室</t>
  </si>
  <si>
    <t>排产创新型质量管理成果及研发课题立项课题总结</t>
  </si>
  <si>
    <t>1. 完成创新型质量管理成果框架搭建
2. 完成课题选择、方向选择、最佳方案选择
3. 完成对策制定和对策实施
4. 完成初版课题总结
5. 完成对应的项目立项报告、成果总结及必要的资料</t>
  </si>
  <si>
    <t>2025年第2季度</t>
  </si>
  <si>
    <t>其他研究</t>
  </si>
  <si>
    <t>基于react+echart的总体数据大屏数据贯通探索</t>
  </si>
  <si>
    <t>1. 以吊车指挥官大屏为蓝本，实现总体数据四面屏幕的数据实时联动
2. 实现部分数据带翻转展示功能
3. 实现部分数据带鼠标点击溯源功能
4. 数据与目前数据中台数据联动
5. 通过各模块数据分别打通考勤数据、焊接数据、氚云数据、ERP数据的联动</t>
  </si>
  <si>
    <t>数据指挥舱设计与开发研究</t>
  </si>
  <si>
    <t>2026年第2季度</t>
  </si>
  <si>
    <t>100%管件绑定预制算法优化</t>
  </si>
  <si>
    <t>1. 对既有的预制算法进行遍历，罗列出主场景和细分适用场景
2. 在细分场景中，例如大于2寸管道要预制，则算法中研究管件绑定情况
3. 设计算法完成后未绑定的管件，进行二次处理场景归纳
4. 新增对应的种类分类，和优化更新
5. 考虑是否存在100%管件焊接，以及虽然不焊接，但是可以考虑绑定在其他地方做成虚拟管段</t>
  </si>
  <si>
    <t>1. 更新后的算法和知识库
2. 氚云模块记录更新前后的管件匹配率对比情况
3. 介绍文档</t>
  </si>
  <si>
    <t>2026年第3季度</t>
  </si>
  <si>
    <t>知识库智能体与微调</t>
  </si>
  <si>
    <t>1. 读取设计研究院知识库形成训练文档
2. 通过ollama部署本地符合硬件水平的deepseek
3. 选取合适的工具实现本地知识库模型对话
4. 部署合适的工具实现对于知识库的API调用</t>
  </si>
  <si>
    <t>MCP协议与RPA联动研究</t>
  </si>
  <si>
    <t>1. 部署Claude与MCP协议
2. 在MCP协议中实现对于焊接数据的分析报告，例如推送的每日焊接数据，比较异同</t>
  </si>
  <si>
    <t>2025年第3季度</t>
  </si>
  <si>
    <t>流程标准化</t>
  </si>
  <si>
    <t>BIM 研〔2025〕8号</t>
  </si>
  <si>
    <t>管道高技能产业工人实名制标准化</t>
  </si>
  <si>
    <t>1. 归集氚云所有人力资源相关模块，不同项目的人力资源应该在同一个模块进行调用
2. 对应进行数据服务、排产服务的管工、焊工、完善姓名、身份证号、焊工证明，挂接产业工人表单基础库
3. 挂接数据服务、排产服务项目的黑名单验证功能
4. 通过身份证挂接项目安全培训、焊工台账、每日焊接数据
5. 形成以焊工、管工为唯一表单序号的考勤数据、项目业绩数据</t>
  </si>
  <si>
    <t>1. 3-5分钟介绍视频
2. 完整的氚云表单
3. 不低于连续3个月的数据分析仪表盘</t>
  </si>
  <si>
    <t>氚云管道进度测量研究</t>
  </si>
  <si>
    <t>1. 配合公司进度控制推广进度，对数据服务、排产服务项目管道专业实现细化的进度测量，形成管道计划人工时(PV)数据
2. 挂接实际考勤数据，形成实际人工时(AV)数据
3. 挂接焊接进度数据，形成赢得人工时(EV)数据
4. 推送每周人工时数据，形成CPI/SPI状态
5. 解决管道工作权重、阀门支架试压不同清单下的统计问题</t>
  </si>
  <si>
    <t>1. 考勤数据、焊接进度数据氚云仪表盘
2. 不低于10个周期与实际进度吻合的稳定进度推送
3. 过程中的问题进入数据质量类表单并登记描述和解决过程
4. 3-5分钟介绍视频</t>
  </si>
  <si>
    <t>组织优化及管理创新</t>
  </si>
  <si>
    <t>数据科学人才招聘</t>
  </si>
  <si>
    <t>本次不纳入计划</t>
  </si>
  <si>
    <t>数据科学与机器学习</t>
  </si>
  <si>
    <t>电子货架设计与实时库存查询</t>
  </si>
  <si>
    <t>1. 研究市面上主要的货架电子标签形式，原理，连接关系
2. 对预制场的货架进行分类，完成编号，并和氚云材料模块的散件货架编号一致
3. 完成系统和电子货架标签的状态同步
4. 设计盘库流程，建立盘库行为表单，并通过表单拍照，判定货架实际数量、显示数量和系统数量是否一致</t>
  </si>
  <si>
    <t>1. 电子标签的连接原理和实践步骤知识库
2. 钉钉模块表单
3. 不低于10次，两个月的盘库记录和数据结论</t>
  </si>
  <si>
    <t>基于一物一码的工程量清单重复单价分析报告</t>
  </si>
  <si>
    <t>1. 基于材料代码综合单价库，对投标和合同的工程量清单进行数据分析
2. 数据分析判断是否存在高低价，若存在对项目的具体费用影响
3. 形成包括多单元材料高低价，无价格的线性取值、定额套用等多维度的指标分析
4. 价格信息更新同步至氚云材料代码基础库</t>
  </si>
  <si>
    <t>1. 3-5分钟介绍视频
2. 完整的分析报告
3. 新增氚云的材料代码价格质量问题库
4. 修正后的清单价格更新至材料代码基础库</t>
  </si>
  <si>
    <t>深度学习人才招聘</t>
  </si>
  <si>
    <t>图像识别与实例分割</t>
  </si>
  <si>
    <t>焊材成本价值分析研究</t>
  </si>
  <si>
    <t>1. 根据公司焊接工艺评定，生成焊接工艺评定库
2. 根据焊接工艺评定所用的焊材，对焊材进行材料编码
3. 根据公司焊材指导价，生成公司焊接材料的指导价格
4. 根据公司焊接工艺评定，绑定项目的焊接作业指导书和工艺卡
5. 根据焊接工艺信息，包括厚度、直径等信息，进行焊材消耗量定额计算
6. 根据绑定的焊缝信息和焊接工艺信息，获取每道焊缝的理论消耗焊材数量，以及焊材费用
7. 根据焊接材料出入库情况，建立焊材入库和领用信息，并根据焊材入库和领用情况，挂接焊材的实际消耗金额
8. 动态根据焊材理论消耗，和实际消耗，生成每种焊缝的分析信息</t>
  </si>
  <si>
    <t>1. 以寸口为计算单元的焊材消耗成本仪表盘
2. 焊接工艺评定、焊材出入库、焊材基础库等氚云表单
3. 焊材材料代码编制规则、焊材消耗量计算总结说明
4. 3-5分钟视频介绍
5. 不少于1个项目的实际应用</t>
  </si>
  <si>
    <t>混合优化下料统筹算法</t>
  </si>
  <si>
    <t>设计研究院</t>
  </si>
  <si>
    <t>模块支墩及辅助梁设计技术研究</t>
  </si>
  <si>
    <t>1. 研究模块支墩的设计和受力计算的软件及方法
2. 研究辅助粱的设计思路和方法
3. 在巴斯夫模块项目上做试点和应用
4. 根据相同条件，完成方案的仿制再生成</t>
  </si>
  <si>
    <t>1. 支墩设计、辅助梁设计方法PPT
2. 氚云中关于该课题的任务工时统计汇总
3. 提交给业主审核签字后的的方案存知识库
4. 相关计算自行验算后的计算书</t>
  </si>
  <si>
    <t>马来西亚CCC认证流程研究</t>
  </si>
  <si>
    <t>1. 收集马来西亚CCC相关资料
2. 了解马来西亚CCC流程的组成，部门情况及需要资料信息
3. 了解CCC过程中的注意点和要点
4. 形成CCC过程的介绍汇报PPT
5. 将过程中的CCC信息在氚云中构建模块并完善信息</t>
  </si>
  <si>
    <t>1. 氚云中关于该课题的任务工时统计汇总
2. CCC相关汇报PPT
3. CCC氚云表单
4. 本项目相关的CCC资料扫描件存NAS</t>
  </si>
  <si>
    <t>视觉效果及文化建设</t>
  </si>
  <si>
    <t>文化长廊宣传形象-成本价值技术</t>
  </si>
  <si>
    <t>小型储罐改造施工可视化研究</t>
  </si>
  <si>
    <t>1.以储罐改造项目为案例，整理方案、图纸等资料，了解小型储罐增加隔板一分为二的改造步骤
2. 研究一种新的方法将现场采集的全景影像转换为模型并可以测量尺寸
3. 对改造施工具体步骤进行可视化研究模拟，根据现场人员反馈进行细节细化修改</t>
  </si>
  <si>
    <t>1.带有步骤文字标注的完整施工模拟动画
2.全景影像转换出的实景模型文件</t>
  </si>
  <si>
    <t>模块化管道预制加工设计单线图优化</t>
  </si>
  <si>
    <t>1. 获取模块化项目下管道深度预制单线图的标准
2. 对材料、标记、焊缝列表的生成进行定制
3. 对单线图区域特殊标识，例如支架、预留段等形式进行定制
4. 研究可通过合作开发模式进行</t>
  </si>
  <si>
    <t>管道焊接日均产值推送分析</t>
  </si>
  <si>
    <t xml:space="preserve">
1. 实现每日焊接数据联动材料唯一码与综合单价获得产值
2. 实现每日考勤获取人工成本
3. 打通数据平台与推送，实现每日推送</t>
  </si>
  <si>
    <t>物流机械与脚手架调度成本测算</t>
  </si>
  <si>
    <t>基于PID及设备参数的水油换热器模块设计</t>
  </si>
  <si>
    <t>1. 根据通用的设备资料信息，利用人工智能测算换热器的外形情况
2. 根据换热器外形信息，设计撬块的框架信息
3. 根据PID图纸，结合设备形状进行配管设计
4. 根据照明和动力的情况，分配电箱和桥架
5. 根据不同软件导出材料表，具备报价条件
6. 完成必要的单位转换
7. 根据巨涛的工作文件，对比我方设计信息，形成设计的问题总结和改进方案</t>
  </si>
  <si>
    <t>1. 氚云中关于该课题的任务工时统计汇总
2. 三维模型设计文件
3. 关于换热器模块设计汇报PPT
4. 多专业MTO对比情况</t>
  </si>
  <si>
    <t>基于 PDF 版本单线图的手动电子化落图模块</t>
  </si>
  <si>
    <t>1. 设计一种准确率不低于98%的单线图材料标识识别模块
2. 设计一种方便传统落图方法的落图标记，并解决使用过程中的方便性问题
3. 设计一种手动标记焊缝时候绑定材料的方法
4. 联动材料描述与材料代码模块，可以生成图纸识别后的材料代码
5. 联动生成焊缝数据库</t>
  </si>
  <si>
    <t>1. 可交付使用的单线图落图和材料识别系统
2. 3-5分钟功能介绍视频
3. 过程中的修正问题氚云记录表单
4. 使用该系统进行落图的图纸清单，以及发送给项目的图纸联络单记录</t>
  </si>
  <si>
    <t>项目执行与人力部署标准视频</t>
  </si>
  <si>
    <t>SLAM人才招聘</t>
  </si>
  <si>
    <t>即时定位与地图构建</t>
  </si>
  <si>
    <t>强化学习人才招聘</t>
  </si>
  <si>
    <t>决策规划与强化学习</t>
  </si>
  <si>
    <t>无损检测点口算法数据分离技术研究</t>
  </si>
  <si>
    <t>1. 设计一种将计算分离的无损检测点口程序，实现钉钉等前端数据调用，并将结果写入钉钉
2. 满足无损检测的各种标准情况
3. 设计满足用户交互的无损检测排产单，生成体验佳的点口推荐页面，用于清晰的导引交互
4. 实现满足3503/3543和项目各种定制化的报表生成
5. 在数据服务中心不少于三个项目中应用</t>
  </si>
  <si>
    <t>1. 可交付使用的无损点口系统
2. 3-5分钟功能介绍视频
3. 过程中的修正问题氚云记录表单
4. 使用该系统进行无损点口的记录，以及发送给项目的无损点口申请单记录</t>
  </si>
  <si>
    <t>基于AI智能体在ERP表单功能的研究</t>
  </si>
  <si>
    <t>1. 以阿里等云平台为对象，选择合适的可嵌入ERP的AI智能体载体
2. 实现通过AI智能体对话创建ERP表单功能
3. 实现通过AI智能体对话查询ERP数据功能
4. 同智能体以RPA形式嵌入微信服务群生态中，实现微信服务群中的问题问答</t>
  </si>
  <si>
    <t>1. 3-5分钟介绍视频呢
2. 三维模型设计文件
3. 关于换热器模块设计汇报PPT
4. 多专业MTO对比情况</t>
  </si>
  <si>
    <t>管道三维模型轻量化解决方案</t>
  </si>
  <si>
    <t>基于管线的三维作业指导书数字化批量校验</t>
  </si>
  <si>
    <t>1. 解决作业指导书三维标注显示问题
2. 以单根管线为样本，创建从NWD-作业指导书的批量参数化流程
3. 融合RPA和氚云流程，单管线预制合理性的迭代优化流程</t>
  </si>
  <si>
    <t>管道预制拼装三维打印技术及场景研究</t>
  </si>
  <si>
    <t>1. 研究管道排产模型到三维打印机的模型转换流程
2. 根据古雷项目信息，实现主要装置的管段三维模型制作
3. 预制管段颜色模型需要实现划分
4. 解决过程中的固定等问题</t>
  </si>
  <si>
    <t>基于Autolisp的CAD竣工图参数化编辑技术研究</t>
  </si>
  <si>
    <t>1. 研究一种基于Autolisp的文字批量识别和修改方法
2. 研究一种基于Autolisp的封闭空间内空白空间的定位方法
3. 研究一种基于Autolisp的云线识别和修改方法
4. 在马来西亚竣工红线图中运用，并记录和解决过程中的问题</t>
  </si>
  <si>
    <t>1. 可交付使用的CAD插件
2. 3-5分钟介绍视频
3. 氚云表单登记红线图和手工图纸处理比例，问题清单</t>
  </si>
  <si>
    <t>基于大模型API的管道材料编码系统研究</t>
  </si>
  <si>
    <t>1. 通过API和简单规则方法，将原有材料代码程序封装至网页
2. 形成材料代码验证反馈机制，并将反馈机制融合到算法中进行二次优化
3. 与ERP、氚云等多个数据源联动，获取训练集的数据源
4. 与氚云任务分配系统联动，形成代码正确性验证与修正反馈
6. 材料编码反馈后生成数据质量表单用于绩效评估，正确和修正后的材料代码更新至材料代码基础库</t>
  </si>
  <si>
    <t>1. 可交付使用的AI大模型材料管理系统
2. 成果研究论文
3. 氚云数据联动模块
4. 不低于50000个材料代码识别和5000个材料代码质量反馈
5. 3-5分钟介绍视频</t>
  </si>
  <si>
    <t>模块测量方案</t>
  </si>
  <si>
    <t>模块运输加固设计</t>
  </si>
  <si>
    <t>1. 掌握模块在准备、总装、吊装、运输过程的加固要点
2. 完成模块称重方案的
3. 以重庆巴斯夫项目为试点进行项目实践，完成以下方案
4. Transportation Beam design
5. Stowage Plan
6. Grillage and Sea-fastening Design Report
7. Weld Map for Grillage &amp; Seafastening
8. Loadout Proceure
3. Erection Arrangement Drawing (EA) for Grillage &amp; Seafastening
4. General Arrangement Drawing (GA) for Grillage &amp; Seafastening
5. Assembly Drawing (CD) for Grillage &amp; Seafastening
6. Single Part Drawing (PD) for  Grillage &amp; Seafastening
7. Bill of Material for Grillage &amp; Seafastening
8. 3D Tekla Model for Grillage &amp; Seafastening
9. Structure Steel Material MTO  for Grillage &amp; Seafastening</t>
  </si>
  <si>
    <t>基于 EXO 方法的多计算机部署算力技术研究</t>
  </si>
  <si>
    <t>1. 实现在本地化部署deepseek0528 4bit/8bit/FP16不同精度的模型部署
2. 实现类似cursor的IDE对话工具，可以实现通过对话识别项目文件夹并自动创建文件
3. 通过EXO或类似方法对本地化模型进行串联，实现显存资源共享
4. 利用macmini等工具充当算力服务器，测试多并发状态下的本地化模型能力</t>
  </si>
  <si>
    <t>1. 可以断网使用的部署好的类似cursor的对话页面，可以分析和生成文件
2. 3-5分钟介绍视频
3. 连网后，运用在其他模块，例如ai材料管理模块对于该本地模型的调用的记录
4. 知识库文档</t>
  </si>
  <si>
    <t>机械指挥舱联动数据大屏部署</t>
  </si>
  <si>
    <t>1. 完成租赁分公司业务需求与沟通
2. 对接机械指挥官，完成对应设备的采购与部署
3. 根据API实现数据与本地Vue数据大屏的互通
4. 参考机械指挥管官方驾驶舱部署本地屏幕并在会议室展示</t>
  </si>
  <si>
    <t>预制排产合理性检查及排产领料单优化技术</t>
  </si>
  <si>
    <t>1. 生成一种调节段快速统计方法以及通过算法优化调节段的合理性问题
2. 生成一种排产单的领料优化算法，让已排产未焊接排产单实现同规格领料最优解
3. 排产单增加焊工与工区堆放建议
4. 解决古雷和金丹项目排产单中的优化问题</t>
  </si>
  <si>
    <t>1. 3-5分钟介绍视频
2. 知识库的文档记录
3. 氚云排产单记录
4. 氚云质量问题记录</t>
  </si>
  <si>
    <t>管道排产与楼地面碰撞二次校验</t>
  </si>
  <si>
    <t>管道与格栅板碰撞模型审查标准化研究</t>
  </si>
  <si>
    <t>1. 掌握tekla关于格栅板模型绘制方法
2. 完成符合实际横纵受力方向的格栅板排版图
3. 完成管道在格栅板的开孔方法和踢脚板绘制
4. 完成不同尺寸，先管道后格栅、先格栅后管道的处理方法
5. 参考BIM大赛形成方案报告</t>
  </si>
  <si>
    <t>基于WebService的多平台数据调用研究</t>
  </si>
  <si>
    <t>1. 研究一种基于WebService的多平台数据传输技术，避免自带的连接流限制消耗
2. 研究主动和被动触发的多平台数据机制，以及数据传输的上下限等技术要求
3. 与RPA、AI智能体等数据交互进行联动，实现数据实时监听和反馈
4. 在一个部门管理场景和项目服务场景中实践运用</t>
  </si>
  <si>
    <t>1. 多平台数据联动的记录
2. 3-5分钟介绍视频
3. 知识库记录</t>
  </si>
  <si>
    <t>技术准备阶段安装排产单标准化研究</t>
  </si>
  <si>
    <t>1. 在获取项目NWD模型第一时间进行工区划分
2. 工区划分完成后，根据模型信息，划分管廊包、设备包、管线包
3. 将生成的包细化到排产单，完成排产单的数量信息和管线信息
4. 根据idf生成的焊缝模型，同步更新排产单的寸口信息和材料信息
5. 根据算法优化的预制信息，同步更新预制寸口和预制材料信息
6. 形成上述流程的标准化流程方案
7. 标准化方案需要明确上述步骤的时间线，人员投入，交付模板，流程表格等信息</t>
  </si>
  <si>
    <t>项目进度测量与绩效联动数字化</t>
  </si>
  <si>
    <t xml:space="preserve">1. 完成项目间接工时需要的标准化文件目录
2. 测算标准化文件需要工时
3. 联动工时与任务分配和管理系统
4. 通过任务关系系统获取赢得人工时
5. 实现基于赢得人工时的实际进度测算
</t>
  </si>
  <si>
    <t>基于企业微信服务的 RPA焊接图片批量采集技术</t>
  </si>
  <si>
    <t>1. 将原有微信的RPA机器人改为企业微信RPA机器人，解决掉线问题
2. 设计一种参数化抓取群照片的流程和方法，方便RPA机器人抓取群内的焊缝图片并上传氚云
3. 设计一种远程图片识别和分发方法，结合任务管理系统、事件流等模块，将焊缝识别分解成多个远程任务
4. 统计焊缝图片识别结果，图片人工识别效率计算、无法识别的照片信息，以及有焊缝无图片的信息，形成氚云表单
5. 在不少于一个项目中实践该功能</t>
  </si>
  <si>
    <t>1. 焊缝抓取和分发的氚云系统表单
2. 3-5分钟介绍视频
3. RPA流程和代码的知识库登记
4. 企业微信设置流程的总结知识库</t>
  </si>
  <si>
    <t>石化主流管道规范数据集生成</t>
  </si>
  <si>
    <t>1. 通过大模型，将石化3501、50235等主要规范进行拆分，生成数据集
2. 确保每份规范数据集不少于2000条数据
3. 根据数据集的回答结合工程师进行验证
4. 数据集可参考modelscope上的已有类似的石化规范数据集</t>
  </si>
  <si>
    <t>焊接数据准备定价标准化研究</t>
  </si>
  <si>
    <t>1. 完成焊接数据准备定价拆分
2. 标准化内容细化到每个环节，形成流水线的不同岗位的责任
3. 按照价格不变，增加服务和服务不变，降低价格两个方案拆解
4. 形成报价的SKU和SPU，拆分到最小单元</t>
  </si>
  <si>
    <t>基于RPA的微信即时回复机器人</t>
  </si>
  <si>
    <t>1. 实现对于微信消息的实时监听
2. 监听内容融入大模型
3. 自动回复模型输入的消息</t>
  </si>
  <si>
    <t>基于msswift等框架的管道施工规范拆解与模型微调</t>
  </si>
  <si>
    <t>1. 基于Qwen3等模型结合msswift等框架对管道规范数据集进行微调
2. 完成原始数据集和验证集及必要环境部署
3. 在swanlab上进行损失观测和结果输出
4. 根据微调后的模型继续生成同样的数据集，并交由工程师进行验证</t>
  </si>
  <si>
    <t>基于钉钉百炼平台的管道施工规范智能体</t>
  </si>
  <si>
    <t>1. 基于钉钉或百炼平台，对GB50517进行知识库及参数调试
2. 设计合适的类目，对不同类目关系进行测试
3. 调整完成知识切片的拆解及不同参数测试
3. 设计智能体Prompt及发布测试
4. 为每个智能体定义每个章节，测试智能体编排和工作流</t>
  </si>
  <si>
    <t>智能投标系统调研与通用功能拆解搭建</t>
  </si>
  <si>
    <t>1. 调研10家市面上的主流智能投标系统
2. 根据相同的模板范例进行拆解
3. 总结每个系统的模块特点，按照功能难易程度进行逆向代码技术拆解
4. 完成关键技术外的通用模块搭建</t>
  </si>
  <si>
    <t>竣工图纸RPA批量化处理研究</t>
  </si>
  <si>
    <t>1. 解决云线批量处理问题
2. 解决图框信息批量处理问题
3. 解决说明栏信息批量处理问题
4. 解决不同文件类型的转换和处理问题</t>
  </si>
  <si>
    <t>基于MNIST的焊接日报手写体识别训练</t>
  </si>
  <si>
    <t>1. 基于MNIST进行手写体的分割训练
2. 根据训练结果改进神经网络
3. 解决空单元格和字母识别等进阶问题
4. 初步识别率提升至90%以上</t>
  </si>
  <si>
    <t>氚云无损检测模块二次开发流程测试</t>
  </si>
  <si>
    <t>1. 研究氚云二次开发前后端文档
2. 数据限制、弹窗提示、权限识别等无损检测模块中的功能开发
3. 配合排产数据人员完成第二季度期间的无损模块的测试优化</t>
  </si>
  <si>
    <t>模块称重技术研究</t>
  </si>
  <si>
    <t>1. 研究小型模块称重的技术和方法
2. 完成模块称重流程(Weighing Procedure)、模块称重报告(Weight Control Report)、重量控制流程(Weight Control Procedure)方案的编制
3. 在模块项目中方案获得业主批复并在项目中记录具体的实际影像和数据</t>
  </si>
  <si>
    <t>1. 包括现场测量影像的3-5分钟视频
2. 提及业主审批的称重测量方案
3. 知识库中对于称重问题的总结</t>
  </si>
  <si>
    <t>氚云排产单联动技术研究</t>
  </si>
  <si>
    <t>1. 在马来西亚排产单的基础上，实现氚云排产单的部署
2. 挂接从材料到货、防腐排产、焊接排产的多流程排产单匹配，实现excel表格全面上线数字化平台
3. 研究一种外挂算法平台，将排产单计算功能从氚云剥离实施读取氚云数据，计算并回传
4. 在不低于两个项目全流程实践氚云排产功能</t>
  </si>
  <si>
    <t>1. 氚云中的防腐排产、焊接排产单自动生成及材料联动
2. 可从氚云读取材料数据并计算后返回氚云的排产单计算程序
3. 3-5分钟介绍视频
4. 不低于2个项目的氚云记录</t>
  </si>
  <si>
    <t>氚云系统移交模块搭建与流程验证</t>
  </si>
  <si>
    <t>1. 搭建ISBL和OSBL按照系统和单元进行移交的模块
2. 挂接计划完成时间，实际完成时间
3. 挂接完成条件的判定
4. 形成系统移交状态表
5. 以实现流程为主，至少要包括系统和单元移交的框架和流程的实现，可以缩小范围</t>
  </si>
  <si>
    <t>典型PVC模块化方案技术准备</t>
  </si>
  <si>
    <t>1.完成PVC模块化优势的介绍资料
2.中东地区模块的业绩
3.典型烧碱pvc项目的模块划分思路
4.典型项目下模块化项目和传统项目的成本对比，人工时对比优势
5.需要上游设计院提供的资料，准备周期，工作计划</t>
  </si>
  <si>
    <t>夹套管焊接排产算法研究</t>
  </si>
  <si>
    <t>1. 研究一种根据夹套法兰快速对夹套管道进行成组拆分的方法
2. 研究一种根据夹套管成组进行快速材料匹配和排产的方法
3. 研究一种在软件中生成夹套管纵焊缝、定位块、隔板角焊缝的方法
4. 研究一种通过不同软件自动或者手动批量生成夹套外管焊缝标记的方法
5. 在河南金丹项目中实践夹套管排产</t>
  </si>
  <si>
    <t>1. 3-5分钟的介绍视频
2. 氚云登记的夹套管排产单
3. 知识库的相关代码和总结</t>
  </si>
  <si>
    <t>地面阀门组模块化预制技术</t>
  </si>
  <si>
    <t>1. 设计一种检查机制，用于我方管道三维深化设计后，进行检查阀门合理性的SOP流程</t>
  </si>
  <si>
    <t>BIMFACE管道焊缝与数据库同步技术</t>
  </si>
  <si>
    <t>1. 解决项目管理中的构件和焊缝数据在BIMFACE的读取功能
2. 解决点击构件后显示属性需要链接到上个层级的问题
3. 解决构件属性的统计汇总问题
4. 通过材料代码等属性进行构件和数据文件链接
5. 根据构件状态，显示不同颜色的着色渲染</t>
  </si>
  <si>
    <t>多维表格微信群生态与钉钉数据联动</t>
  </si>
  <si>
    <t>1. 通过AI多维智能表格，将研发课题清单内容与氚云模块联动，实现数据的双向同步场景
2. 将氚云已排产未焊接的数据挂接到AI多维智能表格，实现不同权限下微信群内焊接日报填报场景
3. 将氚云模块与工资表格联动，实现主要数据的工资表格计算同步场景
4. 将氚云模块数据与AI表格联动，实现每日群数据推送的数据分析场景
5. 将ERP报销模块与AI表格联动，实现上传发票和火车票等信息后自动生成差旅报销数据</t>
  </si>
  <si>
    <t>1. 3-5分钟的介绍视频
2. 5个场景的同步表单
3. 知识库的相关代码和总结</t>
  </si>
  <si>
    <t>小型装置模块拆分设计研究</t>
  </si>
  <si>
    <t>1. 掌握撬块和管廊模块的划分原则
2. 掌握模块划分中的panel、pancake、loosingitem等划分方法
3. 掌握模块划分交界处的处理办法
4. 掌握前期模块拆分设计需要具备的设计输入条件
5. 选取一个过往装置项目或者投标项目进行拆分实例研究</t>
  </si>
  <si>
    <t>1. 3-5分钟介绍视频
2. 划分介绍PPT
3. 模块划分设计方案</t>
  </si>
  <si>
    <t>文化长廊设计三阶段-管道焊接排产技术</t>
  </si>
  <si>
    <t>1. 采购排产
2. 预制排产
3. 安装排产</t>
  </si>
  <si>
    <t>典型成套进口切粒机施工可视化模拟</t>
  </si>
  <si>
    <t>1. 以河南金丹项目模型文件和图纸，完成切粒机系统的可视化模拟
2. 提供给项目需要在过程中的记录的影像形式和清单，以及必要的现场拍摄支持
3. 完成切粒机系统介绍，以及安装流程，注意事项
4. 整合现场实际安装影像，实现成品封装
5. 本课题25年第四季度收集资料，成品26年第一季度完成</t>
  </si>
  <si>
    <t>1. 切粒机系统的可视化安装模拟视频</t>
  </si>
  <si>
    <t>2025年10大新技术宣传片</t>
  </si>
  <si>
    <t>1. 完成技术中心2025年10大新技术宣传视频
2. 完成202510大新技术展板更换</t>
  </si>
  <si>
    <t>1. 2025年10大新技术中文版视频</t>
  </si>
  <si>
    <t>夹套管预制与安装模拟技术交底研究</t>
  </si>
  <si>
    <t>1. 了解夹套管施工工艺，生成夹套管施工可视化交底
2. 了解夹套管排产施工工艺，介绍夹套管排产工艺及模拟
3. 收集河南金丹项目夹套管从预制到安装的视频照片素材，注意要避免安全和质量缺陷素材
4. 制作完整的夹套管技术交底视频
5. 本课题25年第四季度收集资料，成品26年第一季度完成</t>
  </si>
  <si>
    <t>1. 夹套管施工工艺模拟视频</t>
  </si>
  <si>
    <t>使命愿景价值观宣传片</t>
  </si>
  <si>
    <t>1. 完成技术中心使命愿景价值观宣传视频
2. 内容不包括最后的各个公司的案例章节</t>
  </si>
  <si>
    <t xml:space="preserve">1. 使命愿景价值观宣传视频中文版
</t>
  </si>
  <si>
    <t>技术中心宣传片</t>
  </si>
  <si>
    <t>1. 完成技术中心介绍宣传片视频
2. 素材AE效果注意中英双语</t>
  </si>
  <si>
    <t>1. 技术中心2025年宣传视频中文版
2. 技术中心2025年宣传视频英文版</t>
  </si>
  <si>
    <t>基于AI文生视频API与开源部署研究</t>
  </si>
  <si>
    <t>1. 研究一种基于API和开源模型的文生视频技术
2. 完成Stable Diffusion和Sora2等账号和开发者账号注册获取
3. 通过一个管道预制场景或者化工的吊装高空等安全场景，对自带文生视频进行测试，并与主流国内外文生视频进行同一个场景对比
4. 对Sora2的API功能进行和通义万象Wan开源模型等同类型工具进行本地化测试</t>
  </si>
  <si>
    <t>1. 3-5分钟的介绍视频
2. 生成的不同场景视频
3. 知识库的相关代码和总结</t>
  </si>
  <si>
    <t>1. 设计一种根据拓扑连接关系进行试压包快速划分的方法
2. 通过算法实现管线可通行的最小单元组合
3. 根据压力和介质情况，对最小单元组合进行进一步的合并优化处理
4. 解决过大和过小试压包的组合和拆分问题
5. 该课题为2024年第四季度相同课题延伸补充</t>
  </si>
  <si>
    <t>1. 3-5分钟的介绍视频
2. PPT介绍
3. 项目联络单或者批复的试压包方案
3. 知识库的相关代码和总结</t>
  </si>
  <si>
    <t>基于管道材料编码的钉钉与ERP出入库联动研究</t>
  </si>
  <si>
    <t>1. 建立一种挂接ERP和钉钉材料材料为追溯条件的数据互通场景
2. 根据河南金丹项目和马来西亚项目增补管道材料，对于管件、直管、法兰订单进行材料代码挂接
3. 在ERP中建立材料代码的一物一码分类，并且从材料预算到采购合同到材料入库均可追溯到材料代码
4. 将材料代码信息反馈回钉钉数字化平台，可以实时获取到已到货的货值信息
5. 材料到货信息与钉钉出入库数据同步，付款信息挂接材料代码、材料出入库和价格</t>
  </si>
  <si>
    <t>1. 3-5分钟介绍视频
2. ERP的到货记录挂接材料代码表单信息
3. 钉钉的对应货值仪表盘数据</t>
  </si>
  <si>
    <t>管道支架参数化排产技术研究</t>
  </si>
  <si>
    <t>2026年第1季度</t>
  </si>
  <si>
    <t>焊接日报产量与管工号绑定</t>
  </si>
  <si>
    <t>1. 调研管工在焊接过程中的作用和工作分类
2. 设计和分析管工在每一道焊缝中的权重
3. 研究焊接日报填写管工的位置和内容
4. 形成数据对比分析，得到焊缝和管工的数据分析关系</t>
  </si>
  <si>
    <t>模块加固技术研究</t>
  </si>
  <si>
    <t>1. 研究小型模块管道等构件的加固设计方法
2. 完成模块加固计算方案的编制
3. 在模块项目中方案获得业主批复并在项目中记录具体的实际影像和数据</t>
  </si>
  <si>
    <t>1. 实际加固照片视频
2. 业主审批的加固设计方案
3. 知识库中对于加固方案的总结</t>
  </si>
  <si>
    <t>管廊、附塔、地面泵组工区快速化算法划分研究</t>
  </si>
  <si>
    <t>1. 研究一种快速算法，根据构件和焊缝的坐标信息，快速对内管廊工区、附塔工区、地面泵组工区进行判定
2. 研究界区分界点的管件法兰阀门等tie-in判定逻辑
3. 快速获取工区内的材料汇总，以及总汇总，生成优先采购订单
4. 研究一种快速创建对应模型集合的方法，并改进模型核对后的优化问题</t>
  </si>
  <si>
    <t>1. 3-5分钟的介绍视频
2. 场景介绍PPT
3. 知识库的相关代码和总结</t>
  </si>
  <si>
    <t>直管卸料排产模块研究</t>
  </si>
  <si>
    <t>1. 设计一种方便材料堆场进行直管卸料堆放的排产模块
2. 设计6米/9米/12米/15米等不同长度的标准化车位，以及零星材料可以混合堆放的微混车位
3. 设计一种算法，在普通车位可以最多混合两种材料的情况下，根据车位规格，场地面积，材料根数，设计一种堆叠最优解
4. 形成每个车位的堆叠SVG模拟图，方便直观展示不同车位的存放状态
5. 解决不同阶段材料到货后，方便卸车考虑的堆叠车位灵活性</t>
  </si>
  <si>
    <t>1. 3-5分钟的介绍视频
2. 场景介绍PPT
3. 卸料推荐方案
4. 知识库的相关代码和总结</t>
  </si>
  <si>
    <t>智慧管道微信小程序一阶段</t>
  </si>
  <si>
    <t>1. 以永利重工注册服务号，命名"永利重工智慧管道"并挂接服务号消息推送与氚云的数据库连接
2. 整体功能设计参考服务号“东南大学附属中大医院智慧医院”进行功能设计，重点在于消息的可展示型与明细挂接
3. 搬迁原有焊接日报功能至该服务号，以录入排产焊缝为目标进行功能测试
4. 与材料管理发放相关的焊材领用和排产单领料，作为服务号功能测试
5. 完成基于身份直接验证的钉钉、ERP、微信号的统一鉴权</t>
  </si>
  <si>
    <t>1. 永利重工服务号
2. 知识库的过程代码登记
3. 相关功能的总结3-5分钟视频
4. 不少于一个队伍，2个单元相关工作进行实践</t>
  </si>
  <si>
    <t>基于固定管件自然焊缝编号的排产方法优化研究</t>
  </si>
  <si>
    <t>1. 设计一种管道分离的焊缝编号标记规则，用以解决编号更新的问题
2. 初始自然编号只占用固定的编号位，管焊缝以可调解编组的形式存在，且编号与首尾管件焊缝形成映射
3. 通过ep3d焊缝编号脚本模块实现该功能
4. 将预制算法根据该编号方式进行优化，预制焊缝应该按照管件固定自然焊缝进行遍历
5. 将排产算法根据该编号模型进行优化，排产算法应可灵活应对直管焊缝变化的成组领料
6. 完善对应的排产组、数据组的工作SOP</t>
  </si>
  <si>
    <t>1. 3-5分钟介绍视频
2. 不少于一个单元或者排产单的新编号图纸
3. 新的编号原则说明
4. 知识库的相关代码和总结</t>
  </si>
  <si>
    <t>ISO图纸初级规则预制焊缝判定研究</t>
  </si>
  <si>
    <t>1. 设计一种基于ISO电子落图模块手动落图规则下预制焊缝判定功能的技术
2. 根据新的管件焊缝占用自然编号原则，为每个自然焊缝编号和构件生成唯一编码，直管焊缝集生成特殊编码集
3. 根据手动落图模块绑定材料和焊缝关系，以及自然编码信息，生成拓扑关系图
4. 根据拓扑关系和材料编码，设计基本的预制焊缝关系，判定每个焊缝是否预制，直管焊缝集增加单焊缝集内数量不同情况下的计算规则
5. 将自动计算的预制焊缝反写入落图模块，替换原有的焊缝标记
6. 将自动计算焊缝与人工判定焊缝进行对比优化，生成氚云数据记录，为后续人工智能训练积累训练集</t>
  </si>
  <si>
    <t>1. 3-5分钟介绍视频
2. 不少于一个单元或者自动落图图纸
3. 功能说明PPT
4. 知识库的相关代码和总结</t>
  </si>
  <si>
    <t>基于视觉识别的 PID 流程图拓扑关系验证研究</t>
  </si>
  <si>
    <t>1. 设计一种PID图中设备、管道、标记识别的训练方法
2. 结合试压包清单，判定对应的管线所属的PID图纸
3. 判定图纸管线对应的元素和对应的线性连接关系，并生成线性着色标记
4. 根据内容标记不同的试压包编号标记，以及颜色区分</t>
  </si>
  <si>
    <t>1. 可交付使用的PID图纸识别系统
2. 3-5分钟功能介绍视频
3. 过程中的修正问题氚云记录表单
4. 完整的PID图纸的标记案例</t>
  </si>
  <si>
    <t>材料代码本地模型微调与训练</t>
  </si>
  <si>
    <t>1. 研究一种模型训练流程，将目前的AI材料代码系统实现本地模型调用
2. 采用MLX和CUDA架构分别测试，验证两种技术的优劣性
3. 采用微调和Bert等机器学习方法，对模型进行训练和泛化验证
4. 材料代码生成准确率不低于90%</t>
  </si>
  <si>
    <t>1. 3-5分钟介绍视频
2. 功能说明PPT
3. 知识库的相关代码和总结
4. 测试数据和反馈数据在钉钉中的表单集合</t>
  </si>
  <si>
    <t>PDF单线图简单元素识别与应用研究</t>
  </si>
  <si>
    <t>1. 研究识别单线图中的图纸编号，通过算法实现自动化自定义页码编号
2. 研究识别单线图中的支架编号，通过算法实现自动化管道支架编号
3. 研究识别单线图中的阀门，通过算法实现自动化阀门编号
4. 研究合适的训练单线图的直管、管件、法兰、阀门标记的方法，建立训练思路和流程</t>
  </si>
  <si>
    <t>1. 可交付使用的图纸编号、阀门、支架模块
2. 3-5分钟功能介绍视频
3. 过程中的修正问题氚云记录表单
4. 使用该系统自动生成落图的图纸清单，以及发送给项目的图纸联络单记录</t>
  </si>
  <si>
    <t>管道领料排产便利性优化研究</t>
  </si>
  <si>
    <t>1. 研究一种将排产单和领料单分离的流程，方便队伍平衡好排产材料总量和领用量便捷性
2. 设计一种基于寸口的逆向材料匹配混合线性算法，方便队伍得出未来1-3天所需合理工区产量对应领料最简单最优解
3. 搭建一系列算法最优领料结果的排产的数据同步和氚云交互等表单审核问题</t>
  </si>
  <si>
    <t>1. 3-5分钟的介绍视频
2. 氚云登记的领料排产单
3. 知识库的相关代码和总结</t>
  </si>
  <si>
    <t>PDF单线图空间元素识别与应用研究</t>
  </si>
  <si>
    <t xml:space="preserve">
4. 研究识别单线图中的坐标信息，通过算法形成图纸和管线外包络工区
5. 研究识别单线图中长度标注和走向信息，通过标注信息生成算法模拟段
6. 研究识别单线图的管道走向和元件元素信息，结合标注和算法生成模拟段
7. 充分参考自媒体、文献等多渠道，尝试Yolo26等新技术开展研究</t>
  </si>
  <si>
    <t>1. 可交付使用的单线图落图和材料识别系统
2. 3-5分钟功能介绍视频
3. 过程中的修正问题氚云记录表单
4. 使用该系统自动生成落图的图纸清单，以及发送给项目的图纸联络单记录</t>
  </si>
  <si>
    <t>工区焊缝与构件密度分析研究</t>
  </si>
  <si>
    <t>焊工焊接日报推荐算法研究</t>
  </si>
  <si>
    <t>图神经网络预制焊缝研究</t>
  </si>
  <si>
    <t>管廊穿管及焊接排产研究</t>
  </si>
  <si>
    <t>1. 设计一种基于基于管底标高、平行关系等空间数据的管廊工区快速识别算法，快速识别管廊工区，在模型中结合判定管廊区域进行验证，得到工区的立方体的坐标，并对管廊类似设备形成编号
2. 将管廊工区纳入等同设备管理，根据内管廊编号、坐标、算法等条件，结合一物一码信息，得到每个工区的内管廊的管道和管件基础库，
3. 根据基础库形成管廊工区穿管材料的排产匹配，先考虑材料匹配程度，再得到该材料的焊缝数量，设计具备穿管条件下的穿管排产单形式及氚云流程
4. 将延伸出管廊的部分视为类似设备口，进行出管廊的焊接安装排产单设计，获取管道继续延伸的拓扑关系，以及安装排产情况
5. 在氚云中搭建对应的状态表单供排产支持人员更新状态，搭建氚云穿管排产单和焊接排产单流程</t>
  </si>
  <si>
    <t>1. 3-5分钟的介绍视频
2. 氚云登记的管廊状态表单、管廊穿管排产单、管廊安装排产单
3. 知识库的相关代码和总结</t>
  </si>
  <si>
    <t>中型立式模块建造技术可视化模拟</t>
  </si>
  <si>
    <t>1. 模块所属项目和装置介绍
2. 模块主要构成介绍
3. 模块化详细设计介绍
4. 模块化加工设计介绍
5. 模块建造模拟与数字化建造介绍
6. 模块实施影像记录
7. 素材需要中英双语</t>
  </si>
  <si>
    <t>1. 小型模块建造技术视频中文版
2. 小型模块建造技术视频英文版</t>
  </si>
  <si>
    <t>智能工厂触摸车间排产任务展板</t>
  </si>
  <si>
    <t>1. 参考银行超级柜员机，设计一个可用于可触摸屏进行交互的排产查询系统
2. 从每个排产班组的角度，调研其关于排产查询特点和要求，设计对应的功能页面
3. 与打印机进行联动，可直接对查询结果进行直接打印
4. 与硬件商家沟通，生产组装一个排产任务展板原型</t>
  </si>
  <si>
    <t>1. 柜员机触摸屏原型
2. 3-5分钟介绍视频
3. 知识库相关总结</t>
  </si>
  <si>
    <t>数据质量及数据训练</t>
  </si>
  <si>
    <t>预制焊缝统一数据管理模式研究</t>
  </si>
  <si>
    <t>1. 研究一种数据采集模式，将预制焊缝与实际焊缝数据区别进行数据统一管理
2. 建立管件-管件、管件-直管、直管-直管三种焊缝种类标记
3. 将变更导致的焊缝变化，和施工工艺导致的焊缝变化进行标记
4. 重点检测管线设计信息不发生变化的情况下，现场每一道管件-管件、管件-直管焊缝与预制算法有差异的原因，以及完整登记现场实际的焊缝状态
5. 对于直管-直管焊缝，按照0道焊缝、1道焊缝、多道焊缝分别建立长度与焊缝数量、焊缝状态的对比数据</t>
  </si>
  <si>
    <t>1. 3-5分钟的介绍视频
2. 对于已焊未排产和其他的预制焊缝变化的前后完整的图纸和焊缝数据在氚云的表单
3. 焊缝数据对比分析报告</t>
  </si>
  <si>
    <t>材料重量统一数据管理模式研究</t>
  </si>
  <si>
    <t>1. 开始进行管道元件重量参数化数据库搭建
2. 收集一种通用的管道元件重量计算方法，形成理论基础库数据
3. 与目前排产支持项目联动，对管件进行实际称重并记录实际数据
4. 收集不同元件的厂家质量证明文件的登记数据
5. 完成每日到货和付款的理论重量、实际重量的数据联动</t>
  </si>
  <si>
    <t>1. 3-5分钟介绍视频
2. 材料代码库中的理论重量数据比例不低于90%
3. 已有项目的厂家验证数据不低于30%
4. 不少于2个投标项目和已有项目的完整重量数据库</t>
  </si>
  <si>
    <t>产业工人统一数据管理模式研究</t>
  </si>
  <si>
    <t>阀门材料代码编制及数据采集研究</t>
  </si>
  <si>
    <t>1. 启动阀门材料代码和阀门数据库的编制及更新工作，形成标准化程序
2. 研究不同阀门材料代码涉及到的关键参数，形成不同种类阀门的编号规则
3. 采集目前的阀门厂家制造信息
4. 建立氚云相关文档，建立以单一种类阀门为表单的不同项目的技术和采购信息
5. 建立对应的Ep3D阀门库</t>
  </si>
  <si>
    <t>1. 3-5分钟介绍视频
2. 河南金丹项目Ep3d阀门元件库
3. 河南金丹项目的阀门材料代码
4. 阀门材料代码编制规则介绍</t>
  </si>
  <si>
    <t>支架材料代码编制及数据采集研究</t>
  </si>
  <si>
    <t>1. 在原有马来的支架基础库模块下，完成排产项目支持的基础库的补充
2. 完成非标支架的原材料拆解，生成非标支架的原材料采购清单
3. 解决单线图、模型上的支架识别和映射问题
4. 完成项目上支架日报的填写和工程量自动统计
5. 建立对应的Ep3D支架库</t>
  </si>
  <si>
    <t>1. 3-5分钟的介绍视频
2.河南金丹项目Ep3d管道支架库
3. 河南金丹项目所有支架钉钉数据库
4. 场景和技术介绍PPT</t>
  </si>
  <si>
    <t>可安装排产实时状态分析研究</t>
  </si>
  <si>
    <t>1. 研究一种实时检测和提醒的可安装排产状态信息
2. 监听安装排产单中的安装焊缝触发场景，并通过氚云登记后判定是否为真实的安装开始，还是预制焊缝的变更
3. 对于确认已开始现场焊接的焊缝，触发对应管线的“安装开始”状态登记，在氚云形成状态表
4. 重点检测已安装开始管线继续拓扑的可行性，继续沿管线焊接的工作量，潜在焊工分配等进一步工作，形成分析数据
5. 解决管廊、设备口、附塔管线等特殊工区的实际工作问题，形成对应的配管排产单</t>
  </si>
  <si>
    <t>1. 3-5分钟的介绍视频
2. 场景功能介绍的PPT
3. 知识库的相关代码和总结
4. 相关仪表盘和群消息推送</t>
  </si>
  <si>
    <t>试压包与安装焊接同步状态跟踪技术研究</t>
  </si>
  <si>
    <t>1. 研究一种在现场焊接开始时同步更新试压包状态表的技术
2. 完成阀门和支架的编号和日报设计
3. 提前完成初版试压包的划分和系统基础库工作
4. 挂接试压包中的焊接、无损、阀门、支架安装状态</t>
  </si>
  <si>
    <t>1. 3-5分钟介绍视频
2. 不低于一个月阀门、支架等登记的日报表单
3. 不低于一个月的数据推送和仪表盘记录</t>
  </si>
  <si>
    <t>附塔脚手架搭设及管线避让模拟</t>
  </si>
  <si>
    <t>1. 设计一种用于可方便附塔平台、设备保温、管线安装的脚手架工艺模拟方案
2. 根据先搭设底区脚手架-安装大管道支架-安装小附塔管道-设备保温-拆除脚手架-大管道焊接的顺序进行工序模拟
3. 根据项目专家评审的脚手架搭设方案的参数，进行脚手架搭设模拟
4. 根据大管道支架和小管道区域，对脚手架进行构件避让模拟
5. 对避让的构件进行局部受力模拟和计算</t>
  </si>
  <si>
    <t>1. 3-5分钟介绍视频
2. 方案介绍PPT
3. NWD模型
4. 受力计算书</t>
  </si>
  <si>
    <t>数据分析团队定额薪资改革</t>
  </si>
  <si>
    <t>1. 设计一种服务于数据质量和模型训练的数据团队薪资管理模式
2. 将目前ERP中登记的数据工作种类做分类和剥离，解决总登记工时中80%的占比问题进行处理
3. 焊接日报、材料管理、无损检测等氚云模块，通过后端代码，实现填写数据的点击数量统计
4. 落图、焊口统计、材料统计功能，整合到将电子落图模块系统，增加数据操作和统计功能
5. 占比较多的数据质量类，通过数据质量模块分类登记
6. 实现数据组80%的绩效自动计算</t>
  </si>
  <si>
    <t>安装排产推演</t>
  </si>
  <si>
    <t>撬块自动参数化建模研究</t>
  </si>
  <si>
    <t>基于Revit+PCF管道三维建模研究</t>
  </si>
  <si>
    <t>神经辐射场与BIM模型融合的管道排产状态研究</t>
  </si>
  <si>
    <t>基于智能体工作流的文字场景研究</t>
  </si>
  <si>
    <t>1. 学习coze、dify、n8n等工作流使用
2. 建立工作流，拆解PPT的图片，文字等工作内容分解
3. 建立不同版本的工作流，实现导入多维表数据后，根据多维表选择数据生成PPT</t>
  </si>
  <si>
    <t>2寸管道预制方案</t>
  </si>
  <si>
    <t>自动焊流水生产线配置研究</t>
  </si>
  <si>
    <t>Plant3D版PCF架构研究</t>
  </si>
  <si>
    <t>管道集中下料模式探索与实践</t>
  </si>
  <si>
    <t>1. 利用赛鼎项目的管道下料小工具，拆解分析，形成转型小工具
2. 探索集中下料的算法和模式
3. 将集中下料生成以天为单位的排产单，并作为派工单的前序步骤探索
4. 注意在过程中，复盘之前排产算法的问题点，充分考虑到实际落地的工人的场景，从执行者角度考虑是否方便</t>
  </si>
  <si>
    <t>1. 下料排产单程序及对应数字化表单
2. 知识库
3. 介绍文档和视频</t>
  </si>
  <si>
    <t>前置技术</t>
  </si>
  <si>
    <t>课题</t>
  </si>
  <si>
    <t>一级课题</t>
  </si>
  <si>
    <t>二级课题</t>
  </si>
  <si>
    <t>三级课题</t>
  </si>
  <si>
    <t>四级课题</t>
  </si>
  <si>
    <t>五级课题</t>
  </si>
  <si>
    <t>创新点</t>
  </si>
  <si>
    <t>负责人</t>
  </si>
  <si>
    <t>团队</t>
  </si>
  <si>
    <t>2024年第二季度</t>
  </si>
  <si>
    <t>改进优化</t>
  </si>
  <si>
    <t>预制派工</t>
  </si>
  <si>
    <t>组批氚云流程</t>
  </si>
  <si>
    <t>关键流程</t>
  </si>
  <si>
    <t>现场排产</t>
  </si>
  <si>
    <t>碳钢管道预制排产单算法</t>
  </si>
  <si>
    <t>技术储备</t>
  </si>
  <si>
    <t>管理数字化</t>
  </si>
  <si>
    <t>基于遗传算法的管道预制派工</t>
  </si>
  <si>
    <t>基于遗传算法的管道预制派工单算法</t>
  </si>
  <si>
    <t>成本数字化</t>
  </si>
  <si>
    <t>视觉自动焊接机器人</t>
  </si>
  <si>
    <t>焊缝目标检测与模型训练</t>
  </si>
  <si>
    <t>目标检测算法</t>
  </si>
  <si>
    <t>人物行为目标检测</t>
  </si>
  <si>
    <t>管段材料目标检测与实例分割</t>
  </si>
  <si>
    <t>yolo5</t>
  </si>
  <si>
    <t>前瞻研究</t>
  </si>
  <si>
    <t>用户交互</t>
  </si>
  <si>
    <t>基于yolo的管段材料材料识别与训练</t>
  </si>
  <si>
    <t>基于预制深度可视化的新媒体策划与传播</t>
  </si>
  <si>
    <t>可视化效果</t>
  </si>
  <si>
    <t>预制深度提升算法</t>
  </si>
  <si>
    <t>OSBL管道预制深度提升算法</t>
  </si>
  <si>
    <t>基于安装便利性预制深度提升算法</t>
  </si>
  <si>
    <t>组对点口与机动焊接技术</t>
  </si>
  <si>
    <t>机动焊接技术</t>
  </si>
  <si>
    <t>发布焊接工艺评定</t>
  </si>
  <si>
    <t>自动焊接</t>
  </si>
  <si>
    <t>S32205埋弧焊接工艺研究</t>
  </si>
  <si>
    <t>机器人自动化嵌入式开发</t>
  </si>
  <si>
    <t>机械臂驱动与示教运动</t>
  </si>
  <si>
    <t>机械臂示教驱动焊接</t>
  </si>
  <si>
    <t>基于激光视觉焊缝跟踪的管道支架机械臂焊接</t>
  </si>
  <si>
    <t>焊接机器人示教焊接型钢支架</t>
  </si>
  <si>
    <t>机械臂焊接型钢支架自动焊接技术</t>
  </si>
  <si>
    <t>实现遥控示教焊接</t>
  </si>
  <si>
    <t>机械臂焊接型钢支架</t>
  </si>
  <si>
    <t>合格率反馈与调整</t>
  </si>
  <si>
    <t>焊工高级排程排产</t>
  </si>
  <si>
    <t>排程排产算法与优化</t>
  </si>
  <si>
    <t>材料匹配及跟踪</t>
  </si>
  <si>
    <t>普通不锈钢材料匹配算法</t>
  </si>
  <si>
    <t>基于混合线性规划管段材料全局匹配</t>
  </si>
  <si>
    <t>基于混合线性规划的管段材料全局匹配研究与应用</t>
  </si>
  <si>
    <t>数据准备与模型训练</t>
  </si>
  <si>
    <t>模型与数据重建技术</t>
  </si>
  <si>
    <t>管道单线图材料识别与模型训练</t>
  </si>
  <si>
    <t>管道单线图材料识别</t>
  </si>
  <si>
    <t>管道单线图识别算法训练</t>
  </si>
  <si>
    <t>机器学习训练</t>
  </si>
  <si>
    <t>NLP模型部署与训练</t>
  </si>
  <si>
    <t>基于Transformer的模型部署与泛化训练</t>
  </si>
  <si>
    <t>管道材料编码模型部署与训练</t>
  </si>
  <si>
    <t>软件工程与用户交互</t>
  </si>
  <si>
    <t>基于钉钉项目管理平台</t>
  </si>
  <si>
    <t>钉钉质量管理</t>
  </si>
  <si>
    <t>基于氚云的质量验收与放行管理</t>
  </si>
  <si>
    <t>基于氚云的质量巡检管理</t>
  </si>
  <si>
    <t>生成日常巡检流程</t>
  </si>
  <si>
    <t>实现质量巡检问题打印表单</t>
  </si>
  <si>
    <t>BIMFACE 模型着色同步技术研究与应用</t>
  </si>
  <si>
    <t>三维数据准备</t>
  </si>
  <si>
    <t>等级库快速参数化搭建技术</t>
  </si>
  <si>
    <t>元件库快速参数化搭建技术</t>
  </si>
  <si>
    <t>三维程序化建模技术 </t>
  </si>
  <si>
    <t>三维高斯辐射场模型重建技术</t>
  </si>
  <si>
    <t>基于UE5三维高斯辐射场模型重建技术</t>
  </si>
  <si>
    <t>建模软件二次开发</t>
  </si>
  <si>
    <t>脚手架参数化二次开发</t>
  </si>
  <si>
    <t>参数化钢跳板和钢管二次开发</t>
  </si>
  <si>
    <t>跳板和钢管的碰撞检查及优化</t>
  </si>
  <si>
    <t>基于氚云的钉钉管理平台</t>
  </si>
  <si>
    <t>管段材料目标检测与语义分割</t>
  </si>
  <si>
    <t>管道支架编码</t>
  </si>
  <si>
    <t>集装箱管段匹配算法</t>
  </si>
  <si>
    <t>组对目标检测</t>
  </si>
  <si>
    <t>打底目标检测</t>
  </si>
  <si>
    <t>焊接目标检测</t>
  </si>
  <si>
    <t>管段目标检测</t>
  </si>
  <si>
    <t>目标检测特征确定与优化</t>
  </si>
  <si>
    <t>目标检测样本采集与标定</t>
  </si>
  <si>
    <t>目标检测算法编写与验证</t>
  </si>
  <si>
    <t>基于idf模型与Ep3d的变更建模与输出</t>
  </si>
  <si>
    <t>语义分割</t>
  </si>
  <si>
    <t>姓名识别与检测</t>
  </si>
  <si>
    <t>基于二级正则表达式的材料代码编码重构</t>
  </si>
  <si>
    <t>材料模型NER训练</t>
  </si>
  <si>
    <t>氚云管道成本分析</t>
  </si>
  <si>
    <t>质量验收管理</t>
  </si>
  <si>
    <t>材料变更</t>
  </si>
  <si>
    <t>阀门与特殊件尺寸放行单调整</t>
  </si>
  <si>
    <t>现场焊接排产排产</t>
  </si>
  <si>
    <t>材料溯源算法</t>
  </si>
  <si>
    <t>2024年第一季度</t>
  </si>
  <si>
    <t>碳钢材料匹配算法</t>
  </si>
  <si>
    <t>自动焊材料匹配算法</t>
  </si>
  <si>
    <t>可视化模拟与仿真</t>
  </si>
  <si>
    <t>三维管道状态可视化技术</t>
  </si>
  <si>
    <t>管道支架编码与排程</t>
  </si>
  <si>
    <t>RPA机器人推送</t>
  </si>
  <si>
    <t>基于氚云的管道材料验收流程</t>
  </si>
  <si>
    <t>基于氚云的防腐委托和放行流程</t>
  </si>
  <si>
    <t>基于氚云的日报替换流程</t>
  </si>
  <si>
    <t>钉钉安全管理</t>
  </si>
  <si>
    <t>基于氚云的安全巡检管理</t>
  </si>
  <si>
    <t>实现安全巡检问题打印表单</t>
  </si>
  <si>
    <t>基于氚云的作业票管理</t>
  </si>
  <si>
    <t>基于氚云的安全人工时与培训管理</t>
  </si>
  <si>
    <t>机械臂嵌入式开发</t>
  </si>
  <si>
    <t>排程排产算法</t>
  </si>
  <si>
    <t>预制深度算法</t>
  </si>
  <si>
    <t>材料匹配算法</t>
  </si>
  <si>
    <t>焊工分配算法</t>
  </si>
  <si>
    <t>排程排产软件开发</t>
  </si>
  <si>
    <t>管道成本价值工程</t>
  </si>
  <si>
    <t>管道图纸材料 OCR 识别算法</t>
  </si>
  <si>
    <t>pcf 文件架构解析与研究</t>
  </si>
  <si>
    <t>基于工区排程排产</t>
  </si>
  <si>
    <t>基于钉钉的宜搭与氚云移动管理平台</t>
  </si>
  <si>
    <t xml:space="preserve">他                                                                                                                                                                                                                                                                                                                                                                                                                                                                                                                                                                                                                                                                                                                                                                                                                                            </t>
  </si>
  <si>
    <t>视觉识别与智能图像处理</t>
  </si>
  <si>
    <t>图像预处理与增强技术</t>
  </si>
  <si>
    <t>基于YOLO的焊缝实时检测</t>
  </si>
  <si>
    <t>特征提取与目标识别</t>
  </si>
  <si>
    <t>激光焊缝跟踪研究与训练</t>
  </si>
  <si>
    <t>多传感器融合与数据集成</t>
  </si>
  <si>
    <t>焊缝质量评价系统开发</t>
  </si>
  <si>
    <t>组对运输焊接自动化控制</t>
  </si>
  <si>
    <t>焊接路径规划与运动控制</t>
  </si>
  <si>
    <t>AGV智能运输系统集成</t>
  </si>
  <si>
    <t>实时监控与反馈控制系统</t>
  </si>
  <si>
    <t>焊接工艺优化与质量控制</t>
  </si>
  <si>
    <t>焊接工艺参数优化与建模</t>
  </si>
  <si>
    <t>焊接缺陷检测与修复技术</t>
  </si>
  <si>
    <t>质量控制体系与标准制定</t>
  </si>
  <si>
    <t>生产计划与优化算法</t>
  </si>
  <si>
    <t>历史数据分析与模型构建</t>
  </si>
  <si>
    <t>动态调度算法设计与优化</t>
  </si>
  <si>
    <t>多目标优化与成本控制</t>
  </si>
  <si>
    <t>智能排产与生产调度</t>
  </si>
  <si>
    <t>生产工序间的资源调度</t>
  </si>
  <si>
    <t>基于数字孪生的实时反馈系统</t>
  </si>
  <si>
    <t>非常规生产情境下的应急调度</t>
  </si>
  <si>
    <t>生产工艺优化与执行</t>
  </si>
  <si>
    <t>工艺流程的优化与模拟</t>
  </si>
  <si>
    <t>材料供应与工艺执行协调</t>
  </si>
  <si>
    <t>生产过程的监控与质量保障</t>
  </si>
  <si>
    <t>神经网络在快速建模中的应用</t>
  </si>
  <si>
    <t>神经辐射场（NerF）技术集成</t>
  </si>
  <si>
    <t>三维高斯溅射技术应用</t>
  </si>
  <si>
    <t>参数化建模与实时更新</t>
  </si>
  <si>
    <t>三维渲染、可视化与模拟技术</t>
  </si>
  <si>
    <t>高精度三维渲染技术开发</t>
  </si>
  <si>
    <t>UE虚幻引擎在工程模拟中的应用</t>
  </si>
  <si>
    <t>交互式可视化平台设计</t>
  </si>
  <si>
    <t>模型轻量化数字孪生平台开发</t>
  </si>
  <si>
    <t>模型轻量化算法研究</t>
  </si>
  <si>
    <t>数字孪生平台的多源数据融合</t>
  </si>
  <si>
    <t>快速同步技术与模型更新</t>
  </si>
  <si>
    <t>材料供应链优化与损耗控制</t>
  </si>
  <si>
    <t>统一物资编码体系构建</t>
  </si>
  <si>
    <t>切管下料算法优化</t>
  </si>
  <si>
    <t>材料流动与安全存储策略</t>
  </si>
  <si>
    <t>供应调度智能化与动态响应</t>
  </si>
  <si>
    <t>智能调度系统设计</t>
  </si>
  <si>
    <t>供应链不确定性预测与响应</t>
  </si>
  <si>
    <t>动态供应链调整与优化</t>
  </si>
  <si>
    <t>基于视觉大模型的材料追溯</t>
  </si>
  <si>
    <t>材料全生命周期追溯技术</t>
  </si>
  <si>
    <t>供应链质量控制与合规性审核</t>
  </si>
  <si>
    <t>供应链风险分析与管理策略</t>
  </si>
  <si>
    <t>智能成本分析与控制</t>
  </si>
  <si>
    <t>基于大数据的成本分析模型</t>
  </si>
  <si>
    <t>成本控制策略与执行监控</t>
  </si>
  <si>
    <t>成本风险评估与管理</t>
  </si>
  <si>
    <t>价值分析与动态优化</t>
  </si>
  <si>
    <t>项目价值最大化策略</t>
  </si>
  <si>
    <t>多项目组合优化与资源分配</t>
  </si>
  <si>
    <t>项目生命周期的价值管理</t>
  </si>
  <si>
    <t>价值工程与智能决策</t>
  </si>
  <si>
    <t>成本-价值分析与平衡模型</t>
  </si>
  <si>
    <t>智能决策支持系统开发</t>
  </si>
  <si>
    <t>多维度决策场景的模拟与优化</t>
  </si>
  <si>
    <t>课题名称</t>
  </si>
  <si>
    <t>课题明细</t>
  </si>
  <si>
    <t>所属科室</t>
  </si>
  <si>
    <t>主申报单位</t>
  </si>
  <si>
    <t>南京南化建设有限公司</t>
  </si>
  <si>
    <t>石化信息化</t>
  </si>
  <si>
    <t>焊接数据质量研究</t>
  </si>
  <si>
    <t>1.钉钉焊接日报与数据质量数字化核对流程研究
2.上线焊接数据质量校验系统中间库并测试</t>
  </si>
  <si>
    <t>项目服务</t>
  </si>
  <si>
    <t>数据推送技术研究</t>
  </si>
  <si>
    <t>1.实现每日焊接材料消耗量推送
2.完成焊接数据质量分析日报和周报设计和报送
3.实现定时获取钉钉机器人信息推送至微信群</t>
  </si>
  <si>
    <t>数据指挥舱研究</t>
  </si>
  <si>
    <t>1.工区状态指挥舱设计
2.数据指挥舱焊接数据同步技术研究与应用
3.数字员工指挥舱设计与部署
4.研发数据指挥舱设计与部署</t>
  </si>
  <si>
    <t>基于RPA机器人的量化使用研究</t>
  </si>
  <si>
    <t>1.基于RPA机器人的无损排程推送交互研究
2.RPA-轻量化模型标记焊接记录信息
3.三维分区快速着色技术研究与应用</t>
  </si>
  <si>
    <t>预制管段可焊接量算法研究</t>
  </si>
  <si>
    <t>1.预制管段可焊接量研究
2.管段材料匹配贪心算法研究与应用</t>
  </si>
  <si>
    <t>idf文件材料架构解析算法研究</t>
  </si>
  <si>
    <t>管道三维管段及材料唯一编码研究</t>
  </si>
  <si>
    <t>1.管段模型编号更新技术研究与应用
2.管道三维材料编码设计技术研究与应用
3.idf材料唯一编码更新算法研究与应用</t>
  </si>
  <si>
    <t>BIM 劳〔2023〕7 号</t>
  </si>
  <si>
    <t>上线模型轻量化平台基础数据统计模块</t>
  </si>
  <si>
    <t>BIM 研〔2023〕12 号</t>
  </si>
  <si>
    <t>管道三维变更设计技术</t>
  </si>
  <si>
    <t>基于线性规划的集中下料优化算法研究</t>
  </si>
  <si>
    <t>装箱管段堆叠便捷性算法研究</t>
  </si>
  <si>
    <t>材料代码数据质量及优化迭代</t>
  </si>
  <si>
    <t>装置公用工程伴热站模块深化设计研究</t>
  </si>
  <si>
    <t>不同场景下预制调节段预留设置研究</t>
  </si>
  <si>
    <t>国内低成本装箱运输方案研究</t>
  </si>
  <si>
    <t>管道安装排产单</t>
  </si>
  <si>
    <t>基于散件排产单的材料领用</t>
  </si>
  <si>
    <t>预制管段寻料单设计与优化</t>
  </si>
  <si>
    <t>基于拓扑关系的试压包</t>
  </si>
  <si>
    <t>钉钉焊接日报与数据质量</t>
  </si>
  <si>
    <t>预制领料单设计与复盘</t>
  </si>
  <si>
    <t>储备课题</t>
  </si>
  <si>
    <t>钉钉脚手架申请工作流</t>
  </si>
  <si>
    <t>氚云业务规则自动化</t>
  </si>
  <si>
    <t>宜搭图纸工程量比对</t>
  </si>
  <si>
    <t>基于单线图的变更分析流程</t>
  </si>
  <si>
    <t>排产单库存状态表任务线</t>
  </si>
  <si>
    <t>孟加拉团队寻料单任务线</t>
  </si>
  <si>
    <t>反应框架深度服务支持研究</t>
  </si>
  <si>
    <t>基于聚类算法的工作面划分优化</t>
  </si>
  <si>
    <t>国内物资盘库与出入库复盘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</si>
</sst>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0"/>
      <color theme="1"/>
      <name val="冬青黑体简体中文"/>
      <charset val="134"/>
    </font>
    <font>
      <sz val="11"/>
      <color theme="1"/>
      <name val="冬青黑体简体中文"/>
      <charset val="134"/>
    </font>
    <font>
      <sz val="9"/>
      <color theme="1"/>
      <name val="冬青黑体简体中文"/>
      <charset val="134"/>
    </font>
    <font>
      <sz val="9"/>
      <color rgb="FF191B1F"/>
      <name val="冬青黑体简体中文"/>
      <charset val="134"/>
    </font>
    <font>
      <sz val="9"/>
      <color rgb="FF000000"/>
      <name val="冬青黑体简体中文"/>
      <charset val="134"/>
    </font>
    <font>
      <b/>
      <sz val="9"/>
      <color rgb="FFF8F8FF"/>
      <name val="微软雅黑"/>
      <charset val="134"/>
    </font>
    <font>
      <sz val="9"/>
      <color indexed="8"/>
      <name val="微软雅黑"/>
      <charset val="134"/>
    </font>
    <font>
      <sz val="9"/>
      <color rgb="FF000000"/>
      <name val="微软雅黑"/>
      <charset val="134"/>
    </font>
    <font>
      <b/>
      <sz val="11"/>
      <color theme="1"/>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538DD5"/>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5"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6" borderId="6" applyNumberFormat="0" applyAlignment="0" applyProtection="0">
      <alignment vertical="center"/>
    </xf>
    <xf numFmtId="0" fontId="20" fillId="7" borderId="7" applyNumberFormat="0" applyAlignment="0" applyProtection="0">
      <alignment vertical="center"/>
    </xf>
    <xf numFmtId="0" fontId="21" fillId="7" borderId="6" applyNumberFormat="0" applyAlignment="0" applyProtection="0">
      <alignment vertical="center"/>
    </xf>
    <xf numFmtId="0" fontId="22" fillId="8"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cellStyleXfs>
  <cellXfs count="46">
    <xf numFmtId="0" fontId="0" fillId="0" borderId="0" xfId="0">
      <alignment vertical="center"/>
    </xf>
    <xf numFmtId="0" fontId="1" fillId="0" borderId="0" xfId="0" applyFont="1" applyFill="1">
      <alignment vertical="center"/>
    </xf>
    <xf numFmtId="0" fontId="2" fillId="0" borderId="0" xfId="0" applyFont="1" applyFill="1">
      <alignment vertical="center"/>
    </xf>
    <xf numFmtId="0" fontId="3" fillId="0" borderId="0" xfId="0" applyFont="1" applyFill="1" applyAlignment="1">
      <alignment horizontal="center" vertical="center"/>
    </xf>
    <xf numFmtId="57" fontId="3" fillId="0" borderId="0" xfId="0" applyNumberFormat="1" applyFont="1" applyFill="1" applyAlignment="1">
      <alignment horizontal="center" vertical="center"/>
    </xf>
    <xf numFmtId="57" fontId="3" fillId="0" borderId="0" xfId="0" applyNumberFormat="1" applyFont="1" applyFill="1" applyAlignment="1">
      <alignment horizontal="left" vertical="center"/>
    </xf>
    <xf numFmtId="0" fontId="3" fillId="0" borderId="0" xfId="0" applyFont="1" applyFill="1" applyAlignment="1">
      <alignment horizontal="left" vertical="center"/>
    </xf>
    <xf numFmtId="0" fontId="3" fillId="0" borderId="0" xfId="0" applyFont="1" applyFill="1" applyAlignment="1">
      <alignment vertical="center"/>
    </xf>
    <xf numFmtId="0" fontId="4" fillId="0" borderId="0" xfId="0" applyFont="1" applyFill="1" applyAlignment="1">
      <alignment horizontal="center" vertical="center"/>
    </xf>
    <xf numFmtId="0" fontId="5" fillId="0" borderId="0" xfId="0" applyFont="1" applyFill="1" applyAlignment="1">
      <alignment horizontal="center" vertical="center"/>
    </xf>
    <xf numFmtId="0" fontId="6" fillId="2" borderId="1" xfId="0" applyFont="1" applyFill="1" applyBorder="1" applyAlignment="1">
      <alignment vertical="center" wrapText="1"/>
    </xf>
    <xf numFmtId="49" fontId="7" fillId="0" borderId="1" xfId="0" applyNumberFormat="1" applyFont="1" applyFill="1" applyBorder="1" applyAlignment="1">
      <alignment wrapText="1"/>
    </xf>
    <xf numFmtId="49" fontId="8" fillId="0" borderId="1" xfId="0" applyNumberFormat="1" applyFont="1" applyFill="1" applyBorder="1" applyAlignment="1">
      <alignment wrapText="1"/>
    </xf>
    <xf numFmtId="49" fontId="8" fillId="0" borderId="1" xfId="0" applyNumberFormat="1" applyFont="1" applyFill="1" applyBorder="1" applyAlignment="1">
      <alignment vertical="top" wrapText="1"/>
    </xf>
    <xf numFmtId="49" fontId="8" fillId="0" borderId="1" xfId="0" applyNumberFormat="1" applyFont="1" applyFill="1" applyBorder="1" applyAlignment="1">
      <alignment horizontal="left" vertical="top" wrapText="1"/>
    </xf>
    <xf numFmtId="0" fontId="9" fillId="0" borderId="0" xfId="0" applyFont="1" applyAlignment="1">
      <alignment horizontal="left" vertical="center"/>
    </xf>
    <xf numFmtId="0" fontId="0" fillId="0" borderId="0" xfId="0" applyFont="1">
      <alignment vertical="center"/>
    </xf>
    <xf numFmtId="57" fontId="0" fillId="0" borderId="0" xfId="0" applyNumberFormat="1" applyFont="1">
      <alignment vertical="center"/>
    </xf>
    <xf numFmtId="0" fontId="10" fillId="0" borderId="0" xfId="0" applyFont="1" applyAlignment="1">
      <alignment horizontal="left" vertical="center"/>
    </xf>
    <xf numFmtId="0" fontId="3" fillId="0" borderId="2" xfId="0" applyFont="1" applyFill="1" applyBorder="1">
      <alignment vertical="center"/>
    </xf>
    <xf numFmtId="0" fontId="3" fillId="0" borderId="0" xfId="0" applyFont="1" applyFill="1">
      <alignment vertical="center"/>
    </xf>
    <xf numFmtId="0" fontId="3" fillId="0" borderId="2" xfId="0" applyFont="1" applyFill="1" applyBorder="1" applyAlignment="1">
      <alignment horizontal="center" vertical="center"/>
    </xf>
    <xf numFmtId="0" fontId="5" fillId="0" borderId="2" xfId="0" applyFont="1" applyFill="1" applyBorder="1" applyAlignment="1">
      <alignment horizontal="left" vertical="center"/>
    </xf>
    <xf numFmtId="0" fontId="3" fillId="0" borderId="2" xfId="0" applyFont="1" applyFill="1" applyBorder="1" applyAlignment="1">
      <alignment horizontal="left" vertical="center"/>
    </xf>
    <xf numFmtId="0" fontId="3" fillId="0" borderId="2" xfId="0" applyFont="1" applyFill="1" applyBorder="1" applyAlignment="1">
      <alignment vertical="center"/>
    </xf>
    <xf numFmtId="0" fontId="5" fillId="0" borderId="2" xfId="0" applyFont="1" applyFill="1" applyBorder="1">
      <alignment vertical="center"/>
    </xf>
    <xf numFmtId="0" fontId="5" fillId="0" borderId="2" xfId="0" applyFont="1" applyFill="1" applyBorder="1" applyAlignment="1">
      <alignment horizontal="center" vertical="center"/>
    </xf>
    <xf numFmtId="57" fontId="3" fillId="0" borderId="2" xfId="0" applyNumberFormat="1" applyFont="1" applyFill="1" applyBorder="1" applyAlignment="1">
      <alignment horizontal="center" vertical="center"/>
    </xf>
    <xf numFmtId="57" fontId="5" fillId="0" borderId="2" xfId="0" applyNumberFormat="1" applyFont="1" applyFill="1" applyBorder="1" applyAlignment="1">
      <alignment horizontal="left" vertical="center" wrapText="1"/>
    </xf>
    <xf numFmtId="57" fontId="5" fillId="0" borderId="2" xfId="0" applyNumberFormat="1" applyFont="1" applyFill="1" applyBorder="1" applyAlignment="1">
      <alignment horizontal="left" vertical="center"/>
    </xf>
    <xf numFmtId="57" fontId="3" fillId="0" borderId="2" xfId="0" applyNumberFormat="1" applyFont="1" applyFill="1" applyBorder="1" applyAlignment="1">
      <alignment horizontal="left" vertical="center"/>
    </xf>
    <xf numFmtId="0" fontId="4" fillId="0" borderId="2" xfId="0" applyFont="1" applyFill="1" applyBorder="1" applyAlignment="1">
      <alignment horizontal="center" vertical="center"/>
    </xf>
    <xf numFmtId="0" fontId="3" fillId="0" borderId="2" xfId="0" applyNumberFormat="1" applyFont="1" applyFill="1" applyBorder="1" applyAlignment="1">
      <alignment horizontal="center" vertical="center"/>
    </xf>
    <xf numFmtId="0" fontId="3" fillId="3" borderId="2" xfId="0" applyFont="1" applyFill="1" applyBorder="1" applyAlignment="1">
      <alignment horizontal="left" vertical="center"/>
    </xf>
    <xf numFmtId="0" fontId="5" fillId="3" borderId="2" xfId="0" applyFont="1" applyFill="1" applyBorder="1" applyAlignment="1">
      <alignment horizontal="left" vertical="center"/>
    </xf>
    <xf numFmtId="0" fontId="5" fillId="0" borderId="2" xfId="0" applyNumberFormat="1" applyFont="1" applyFill="1" applyBorder="1" applyAlignment="1">
      <alignment horizontal="center" vertical="center"/>
    </xf>
    <xf numFmtId="0" fontId="5" fillId="0" borderId="2" xfId="0" applyNumberFormat="1" applyFont="1" applyFill="1" applyBorder="1" applyAlignment="1">
      <alignment vertical="center"/>
    </xf>
    <xf numFmtId="0" fontId="3" fillId="0" borderId="2" xfId="0" applyNumberFormat="1" applyFont="1" applyFill="1" applyBorder="1" applyAlignment="1">
      <alignment vertical="center"/>
    </xf>
    <xf numFmtId="0" fontId="5" fillId="0" borderId="2" xfId="0" applyFont="1" applyFill="1" applyBorder="1" applyAlignment="1">
      <alignment vertical="center"/>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3" fillId="0" borderId="2" xfId="0" applyNumberFormat="1" applyFont="1" applyFill="1" applyBorder="1" applyAlignment="1">
      <alignment horizontal="left" vertical="center"/>
    </xf>
    <xf numFmtId="0" fontId="3" fillId="4" borderId="2" xfId="0" applyFont="1" applyFill="1" applyBorder="1" applyAlignment="1">
      <alignment horizontal="left" vertical="center"/>
    </xf>
    <xf numFmtId="0" fontId="5" fillId="0" borderId="2" xfId="0" applyNumberFormat="1" applyFont="1" applyFill="1" applyBorder="1" applyAlignment="1">
      <alignment horizontal="left" vertical="center"/>
    </xf>
    <xf numFmtId="0" fontId="3" fillId="3" borderId="2" xfId="0" applyFont="1" applyFill="1" applyBorder="1" applyAlignment="1">
      <alignment horizontal="left" vertical="center" wrapText="1"/>
    </xf>
    <xf numFmtId="0" fontId="5" fillId="0" borderId="2"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C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3.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25"/>
  <sheetViews>
    <sheetView tabSelected="1" topLeftCell="A20" workbookViewId="0">
      <selection activeCell="B326" sqref="B326"/>
    </sheetView>
  </sheetViews>
  <sheetFormatPr defaultColWidth="9.91346153846154" defaultRowHeight="90" customHeight="1"/>
  <cols>
    <col min="1" max="1" width="4.375" style="19" customWidth="1"/>
    <col min="2" max="2" width="15.875" style="21" customWidth="1"/>
    <col min="3" max="3" width="4.375" style="21" customWidth="1"/>
    <col min="4" max="4" width="23.75" style="21" customWidth="1"/>
    <col min="5" max="5" width="15.375" style="21" customWidth="1"/>
    <col min="6" max="6" width="29.75" style="21" hidden="1" customWidth="1"/>
    <col min="7" max="7" width="15.75" style="21" hidden="1" customWidth="1"/>
    <col min="8" max="8" width="10.375" style="21" hidden="1" customWidth="1"/>
    <col min="9" max="9" width="5.875" style="21" hidden="1" customWidth="1"/>
    <col min="10" max="10" width="8.875" style="21" hidden="1" customWidth="1"/>
    <col min="11" max="12" width="7.375" style="21" hidden="1" customWidth="1"/>
    <col min="13" max="13" width="32.2692307692308" style="22" customWidth="1"/>
    <col min="14" max="14" width="83.4903846153846" style="23" customWidth="1"/>
    <col min="15" max="15" width="63.625" style="23" customWidth="1"/>
    <col min="16" max="16" width="25.375" style="23" customWidth="1"/>
    <col min="17" max="17" width="48.625" style="24" customWidth="1"/>
    <col min="18" max="16370" width="9.02884615384615" style="19"/>
    <col min="16371" max="16384" width="9.91346153846154" style="19"/>
  </cols>
  <sheetData>
    <row r="1" s="19" customFormat="1" ht="41" spans="1:17">
      <c r="A1" s="25" t="s">
        <v>0</v>
      </c>
      <c r="B1" s="21" t="s">
        <v>1</v>
      </c>
      <c r="C1" s="26" t="s">
        <v>0</v>
      </c>
      <c r="D1" s="21" t="s">
        <v>2</v>
      </c>
      <c r="E1" s="27" t="s">
        <v>3</v>
      </c>
      <c r="F1" s="27" t="s">
        <v>4</v>
      </c>
      <c r="G1" s="27" t="s">
        <v>5</v>
      </c>
      <c r="H1" s="21" t="s">
        <v>6</v>
      </c>
      <c r="I1" s="28" t="s">
        <v>7</v>
      </c>
      <c r="J1" s="29" t="s">
        <v>8</v>
      </c>
      <c r="K1" s="30" t="s">
        <v>9</v>
      </c>
      <c r="L1" s="29" t="s">
        <v>10</v>
      </c>
      <c r="M1" s="22" t="s">
        <v>11</v>
      </c>
      <c r="N1" s="22" t="s">
        <v>12</v>
      </c>
      <c r="O1" s="22" t="s">
        <v>13</v>
      </c>
      <c r="P1" s="23" t="s">
        <v>14</v>
      </c>
      <c r="Q1" s="24" t="s">
        <v>15</v>
      </c>
    </row>
    <row r="2" s="20" customFormat="1" customHeight="1" spans="1:17">
      <c r="A2" s="19">
        <v>1</v>
      </c>
      <c r="B2" s="21" t="s">
        <v>16</v>
      </c>
      <c r="C2" s="31">
        <f>SUBTOTAL(103,$B$1:B2)-1</f>
        <v>1</v>
      </c>
      <c r="D2" s="32" t="s">
        <v>17</v>
      </c>
      <c r="E2" s="21" t="s">
        <v>18</v>
      </c>
      <c r="F2" s="21" t="s">
        <v>19</v>
      </c>
      <c r="G2" s="26" t="s">
        <v>20</v>
      </c>
      <c r="H2" s="21" t="s">
        <v>21</v>
      </c>
      <c r="I2" s="23"/>
      <c r="J2" s="23"/>
      <c r="K2" s="26" t="s">
        <v>22</v>
      </c>
      <c r="L2" s="26"/>
      <c r="M2" s="22" t="s">
        <v>23</v>
      </c>
      <c r="N2" s="23"/>
      <c r="O2" s="23"/>
      <c r="P2" s="23" t="s">
        <v>24</v>
      </c>
      <c r="Q2" s="24" t="s">
        <v>25</v>
      </c>
    </row>
    <row r="3" s="20" customFormat="1" customHeight="1" spans="1:17">
      <c r="A3" s="19">
        <v>2</v>
      </c>
      <c r="B3" s="21" t="s">
        <v>16</v>
      </c>
      <c r="C3" s="31">
        <f>SUBTOTAL(103,$B$1:B3)-1</f>
        <v>2</v>
      </c>
      <c r="D3" s="21" t="s">
        <v>17</v>
      </c>
      <c r="E3" s="21" t="s">
        <v>18</v>
      </c>
      <c r="F3" s="21" t="s">
        <v>19</v>
      </c>
      <c r="G3" s="26" t="s">
        <v>20</v>
      </c>
      <c r="H3" s="21" t="s">
        <v>21</v>
      </c>
      <c r="I3" s="26" t="s">
        <v>26</v>
      </c>
      <c r="J3" s="23"/>
      <c r="K3" s="26" t="s">
        <v>22</v>
      </c>
      <c r="L3" s="26"/>
      <c r="M3" s="22" t="s">
        <v>27</v>
      </c>
      <c r="N3" s="33"/>
      <c r="O3" s="33"/>
      <c r="P3" s="23" t="s">
        <v>24</v>
      </c>
      <c r="Q3" s="24" t="s">
        <v>25</v>
      </c>
    </row>
    <row r="4" s="20" customFormat="1" customHeight="1" spans="1:17">
      <c r="A4" s="19">
        <v>3</v>
      </c>
      <c r="B4" s="21" t="s">
        <v>16</v>
      </c>
      <c r="C4" s="31">
        <f>SUBTOTAL(103,$B$1:B4)-1</f>
        <v>3</v>
      </c>
      <c r="D4" s="21" t="s">
        <v>17</v>
      </c>
      <c r="E4" s="21" t="s">
        <v>18</v>
      </c>
      <c r="F4" s="21" t="s">
        <v>19</v>
      </c>
      <c r="G4" s="26" t="s">
        <v>20</v>
      </c>
      <c r="H4" s="21" t="s">
        <v>21</v>
      </c>
      <c r="I4" s="23"/>
      <c r="J4" s="23"/>
      <c r="K4" s="26" t="s">
        <v>28</v>
      </c>
      <c r="L4" s="26"/>
      <c r="M4" s="22" t="s">
        <v>29</v>
      </c>
      <c r="N4" s="23"/>
      <c r="O4" s="23"/>
      <c r="P4" s="23" t="s">
        <v>24</v>
      </c>
      <c r="Q4" s="24" t="s">
        <v>30</v>
      </c>
    </row>
    <row r="5" s="20" customFormat="1" customHeight="1" spans="1:17">
      <c r="A5" s="19">
        <v>4</v>
      </c>
      <c r="B5" s="21" t="s">
        <v>16</v>
      </c>
      <c r="C5" s="31">
        <f>SUBTOTAL(103,$B$1:B5)-1</f>
        <v>4</v>
      </c>
      <c r="D5" s="21" t="s">
        <v>17</v>
      </c>
      <c r="E5" s="21" t="s">
        <v>18</v>
      </c>
      <c r="F5" s="21" t="s">
        <v>19</v>
      </c>
      <c r="G5" s="26" t="s">
        <v>20</v>
      </c>
      <c r="H5" s="21"/>
      <c r="I5" s="23"/>
      <c r="J5" s="23"/>
      <c r="K5" s="26" t="s">
        <v>31</v>
      </c>
      <c r="L5" s="26"/>
      <c r="M5" s="22" t="s">
        <v>32</v>
      </c>
      <c r="N5" s="23"/>
      <c r="O5" s="23"/>
      <c r="P5" s="23"/>
      <c r="Q5" s="24" t="s">
        <v>30</v>
      </c>
    </row>
    <row r="6" s="20" customFormat="1" customHeight="1" spans="1:17">
      <c r="A6" s="19">
        <v>5</v>
      </c>
      <c r="B6" s="21" t="s">
        <v>16</v>
      </c>
      <c r="C6" s="31">
        <f>SUBTOTAL(103,$B$1:B6)-1</f>
        <v>5</v>
      </c>
      <c r="D6" s="21" t="s">
        <v>17</v>
      </c>
      <c r="E6" s="21" t="s">
        <v>18</v>
      </c>
      <c r="F6" s="21" t="s">
        <v>19</v>
      </c>
      <c r="G6" s="26" t="s">
        <v>20</v>
      </c>
      <c r="H6" s="21" t="s">
        <v>21</v>
      </c>
      <c r="I6" s="26" t="s">
        <v>33</v>
      </c>
      <c r="J6" s="23"/>
      <c r="K6" s="26" t="s">
        <v>22</v>
      </c>
      <c r="L6" s="26"/>
      <c r="M6" s="22" t="s">
        <v>34</v>
      </c>
      <c r="N6" s="34"/>
      <c r="O6" s="34"/>
      <c r="P6" s="23" t="s">
        <v>24</v>
      </c>
      <c r="Q6" s="24" t="s">
        <v>35</v>
      </c>
    </row>
    <row r="7" s="20" customFormat="1" customHeight="1" spans="1:17">
      <c r="A7" s="19">
        <v>6</v>
      </c>
      <c r="B7" s="21" t="s">
        <v>16</v>
      </c>
      <c r="C7" s="31">
        <f>SUBTOTAL(103,$B$1:B7)-1</f>
        <v>6</v>
      </c>
      <c r="D7" s="21" t="s">
        <v>17</v>
      </c>
      <c r="E7" s="21" t="s">
        <v>18</v>
      </c>
      <c r="F7" s="21" t="s">
        <v>19</v>
      </c>
      <c r="G7" s="26" t="s">
        <v>20</v>
      </c>
      <c r="H7" s="21"/>
      <c r="I7" s="26" t="s">
        <v>33</v>
      </c>
      <c r="J7" s="21"/>
      <c r="K7" s="26" t="s">
        <v>36</v>
      </c>
      <c r="L7" s="26"/>
      <c r="M7" s="22" t="s">
        <v>37</v>
      </c>
      <c r="N7" s="34"/>
      <c r="O7" s="34"/>
      <c r="P7" s="23"/>
      <c r="Q7" s="24" t="s">
        <v>35</v>
      </c>
    </row>
    <row r="8" s="20" customFormat="1" customHeight="1" spans="1:17">
      <c r="A8" s="19">
        <v>7</v>
      </c>
      <c r="B8" s="21" t="s">
        <v>16</v>
      </c>
      <c r="C8" s="31">
        <f>SUBTOTAL(103,$B$1:B8)-1</f>
        <v>7</v>
      </c>
      <c r="D8" s="26" t="s">
        <v>38</v>
      </c>
      <c r="E8" s="35" t="s">
        <v>18</v>
      </c>
      <c r="F8" s="21" t="s">
        <v>19</v>
      </c>
      <c r="G8" s="26" t="s">
        <v>20</v>
      </c>
      <c r="H8" s="21" t="s">
        <v>21</v>
      </c>
      <c r="I8" s="23"/>
      <c r="J8" s="23"/>
      <c r="K8" s="26"/>
      <c r="L8" s="26"/>
      <c r="M8" s="22" t="s">
        <v>39</v>
      </c>
      <c r="N8" s="23"/>
      <c r="O8" s="23"/>
      <c r="P8" s="23" t="s">
        <v>40</v>
      </c>
      <c r="Q8" s="36" t="s">
        <v>41</v>
      </c>
    </row>
    <row r="9" s="20" customFormat="1" customHeight="1" spans="1:17">
      <c r="A9" s="19">
        <v>8</v>
      </c>
      <c r="B9" s="21" t="s">
        <v>16</v>
      </c>
      <c r="C9" s="31">
        <f>SUBTOTAL(103,$B$1:B9)-1</f>
        <v>8</v>
      </c>
      <c r="D9" s="26" t="s">
        <v>38</v>
      </c>
      <c r="E9" s="35" t="s">
        <v>18</v>
      </c>
      <c r="F9" s="21" t="s">
        <v>19</v>
      </c>
      <c r="G9" s="26" t="s">
        <v>20</v>
      </c>
      <c r="H9" s="21"/>
      <c r="I9" s="23"/>
      <c r="J9" s="23"/>
      <c r="K9" s="26"/>
      <c r="L9" s="26"/>
      <c r="M9" s="22" t="s">
        <v>42</v>
      </c>
      <c r="N9" s="23"/>
      <c r="O9" s="23"/>
      <c r="P9" s="23"/>
      <c r="Q9" s="37" t="s">
        <v>41</v>
      </c>
    </row>
    <row r="10" s="20" customFormat="1" customHeight="1" spans="1:17">
      <c r="A10" s="19">
        <v>9</v>
      </c>
      <c r="B10" s="21" t="s">
        <v>16</v>
      </c>
      <c r="C10" s="31">
        <f>SUBTOTAL(103,$B$1:B10)-1</f>
        <v>9</v>
      </c>
      <c r="D10" s="21" t="s">
        <v>43</v>
      </c>
      <c r="E10" s="21" t="s">
        <v>18</v>
      </c>
      <c r="F10" s="21" t="s">
        <v>19</v>
      </c>
      <c r="G10" s="21" t="s">
        <v>44</v>
      </c>
      <c r="H10" s="21" t="s">
        <v>45</v>
      </c>
      <c r="I10" s="21"/>
      <c r="J10" s="21"/>
      <c r="K10" s="21" t="s">
        <v>46</v>
      </c>
      <c r="L10" s="21"/>
      <c r="M10" s="22" t="s">
        <v>47</v>
      </c>
      <c r="N10" s="23"/>
      <c r="O10" s="23"/>
      <c r="P10" s="23" t="s">
        <v>40</v>
      </c>
      <c r="Q10" s="24" t="s">
        <v>48</v>
      </c>
    </row>
    <row r="11" s="20" customFormat="1" customHeight="1" spans="1:17">
      <c r="A11" s="19">
        <v>10</v>
      </c>
      <c r="B11" s="21" t="s">
        <v>16</v>
      </c>
      <c r="C11" s="31">
        <f>SUBTOTAL(103,$B$1:B11)-1</f>
        <v>10</v>
      </c>
      <c r="D11" s="21" t="s">
        <v>43</v>
      </c>
      <c r="E11" s="21" t="s">
        <v>18</v>
      </c>
      <c r="F11" s="21" t="s">
        <v>19</v>
      </c>
      <c r="G11" s="21" t="s">
        <v>44</v>
      </c>
      <c r="H11" s="21" t="s">
        <v>45</v>
      </c>
      <c r="I11" s="21"/>
      <c r="J11" s="21"/>
      <c r="K11" s="21" t="s">
        <v>46</v>
      </c>
      <c r="L11" s="21"/>
      <c r="M11" s="22" t="s">
        <v>49</v>
      </c>
      <c r="N11" s="23"/>
      <c r="O11" s="23"/>
      <c r="P11" s="23" t="s">
        <v>40</v>
      </c>
      <c r="Q11" s="24" t="s">
        <v>48</v>
      </c>
    </row>
    <row r="12" s="20" customFormat="1" customHeight="1" spans="1:17">
      <c r="A12" s="19">
        <v>11</v>
      </c>
      <c r="B12" s="21" t="s">
        <v>16</v>
      </c>
      <c r="C12" s="31">
        <f>SUBTOTAL(103,$B$1:B12)-1</f>
        <v>11</v>
      </c>
      <c r="D12" s="21" t="s">
        <v>50</v>
      </c>
      <c r="E12" s="21" t="s">
        <v>18</v>
      </c>
      <c r="F12" s="21" t="s">
        <v>19</v>
      </c>
      <c r="G12" s="26" t="s">
        <v>20</v>
      </c>
      <c r="H12" s="21" t="s">
        <v>21</v>
      </c>
      <c r="I12" s="21"/>
      <c r="J12" s="21"/>
      <c r="K12" s="26"/>
      <c r="L12" s="26"/>
      <c r="M12" s="22" t="s">
        <v>51</v>
      </c>
      <c r="N12" s="23"/>
      <c r="O12" s="23"/>
      <c r="P12" s="23" t="s">
        <v>52</v>
      </c>
      <c r="Q12" s="24" t="s">
        <v>53</v>
      </c>
    </row>
    <row r="13" s="20" customFormat="1" customHeight="1" spans="1:17">
      <c r="A13" s="19">
        <v>12</v>
      </c>
      <c r="B13" s="21" t="s">
        <v>16</v>
      </c>
      <c r="C13" s="31">
        <f>SUBTOTAL(103,$B$1:B13)-1</f>
        <v>12</v>
      </c>
      <c r="D13" s="21" t="s">
        <v>50</v>
      </c>
      <c r="E13" s="21" t="s">
        <v>18</v>
      </c>
      <c r="F13" s="21" t="s">
        <v>19</v>
      </c>
      <c r="G13" s="26" t="s">
        <v>20</v>
      </c>
      <c r="H13" s="21"/>
      <c r="I13" s="21"/>
      <c r="J13" s="21"/>
      <c r="K13" s="26"/>
      <c r="L13" s="26"/>
      <c r="M13" s="22" t="s">
        <v>54</v>
      </c>
      <c r="N13" s="23"/>
      <c r="O13" s="23"/>
      <c r="P13" s="23"/>
      <c r="Q13" s="24" t="s">
        <v>53</v>
      </c>
    </row>
    <row r="14" s="20" customFormat="1" customHeight="1" spans="1:17">
      <c r="A14" s="19">
        <v>13</v>
      </c>
      <c r="B14" s="21" t="s">
        <v>16</v>
      </c>
      <c r="C14" s="31">
        <f>SUBTOTAL(103,$B$1:B14)-1</f>
        <v>13</v>
      </c>
      <c r="D14" s="21" t="s">
        <v>50</v>
      </c>
      <c r="E14" s="21" t="s">
        <v>18</v>
      </c>
      <c r="F14" s="21" t="s">
        <v>19</v>
      </c>
      <c r="G14" s="26" t="s">
        <v>20</v>
      </c>
      <c r="H14" s="21" t="s">
        <v>21</v>
      </c>
      <c r="I14" s="21"/>
      <c r="J14" s="21"/>
      <c r="K14" s="26"/>
      <c r="L14" s="26"/>
      <c r="M14" s="22" t="s">
        <v>55</v>
      </c>
      <c r="N14" s="23"/>
      <c r="O14" s="23"/>
      <c r="P14" s="23" t="s">
        <v>40</v>
      </c>
      <c r="Q14" s="24" t="s">
        <v>56</v>
      </c>
    </row>
    <row r="15" s="20" customFormat="1" customHeight="1" spans="1:17">
      <c r="A15" s="19">
        <v>14</v>
      </c>
      <c r="B15" s="21" t="s">
        <v>16</v>
      </c>
      <c r="C15" s="31">
        <f>SUBTOTAL(103,$B$1:B15)-1</f>
        <v>14</v>
      </c>
      <c r="D15" s="21" t="s">
        <v>50</v>
      </c>
      <c r="E15" s="21" t="s">
        <v>18</v>
      </c>
      <c r="F15" s="21" t="s">
        <v>19</v>
      </c>
      <c r="G15" s="26" t="s">
        <v>20</v>
      </c>
      <c r="H15" s="21"/>
      <c r="I15" s="21"/>
      <c r="J15" s="21"/>
      <c r="K15" s="26" t="s">
        <v>57</v>
      </c>
      <c r="L15" s="26"/>
      <c r="M15" s="22" t="s">
        <v>58</v>
      </c>
      <c r="N15" s="23"/>
      <c r="O15" s="23"/>
      <c r="P15" s="23"/>
      <c r="Q15" s="24" t="s">
        <v>56</v>
      </c>
    </row>
    <row r="16" s="20" customFormat="1" customHeight="1" spans="1:17">
      <c r="A16" s="19">
        <v>15</v>
      </c>
      <c r="B16" s="21" t="s">
        <v>16</v>
      </c>
      <c r="C16" s="31">
        <f>SUBTOTAL(103,$B$1:B16)-1</f>
        <v>15</v>
      </c>
      <c r="D16" s="21" t="s">
        <v>50</v>
      </c>
      <c r="E16" s="21" t="s">
        <v>18</v>
      </c>
      <c r="F16" s="21" t="s">
        <v>19</v>
      </c>
      <c r="G16" s="26" t="s">
        <v>20</v>
      </c>
      <c r="H16" s="21" t="s">
        <v>21</v>
      </c>
      <c r="I16" s="21"/>
      <c r="J16" s="21"/>
      <c r="K16" s="26" t="s">
        <v>57</v>
      </c>
      <c r="L16" s="26"/>
      <c r="M16" s="22" t="s">
        <v>59</v>
      </c>
      <c r="N16" s="23"/>
      <c r="O16" s="23"/>
      <c r="P16" s="23" t="s">
        <v>40</v>
      </c>
      <c r="Q16" s="24" t="s">
        <v>60</v>
      </c>
    </row>
    <row r="17" s="20" customFormat="1" customHeight="1" spans="1:17">
      <c r="A17" s="19">
        <v>16</v>
      </c>
      <c r="B17" s="21" t="s">
        <v>16</v>
      </c>
      <c r="C17" s="31">
        <f>SUBTOTAL(103,$B$1:B17)-1</f>
        <v>16</v>
      </c>
      <c r="D17" s="21" t="s">
        <v>50</v>
      </c>
      <c r="E17" s="21" t="s">
        <v>18</v>
      </c>
      <c r="F17" s="21" t="s">
        <v>19</v>
      </c>
      <c r="G17" s="26" t="s">
        <v>20</v>
      </c>
      <c r="H17" s="21"/>
      <c r="I17" s="21"/>
      <c r="J17" s="21"/>
      <c r="K17" s="26"/>
      <c r="L17" s="26"/>
      <c r="M17" s="22" t="s">
        <v>61</v>
      </c>
      <c r="N17" s="23"/>
      <c r="O17" s="23"/>
      <c r="P17" s="23"/>
      <c r="Q17" s="24" t="s">
        <v>53</v>
      </c>
    </row>
    <row r="18" s="20" customFormat="1" customHeight="1" spans="1:17">
      <c r="A18" s="19">
        <v>17</v>
      </c>
      <c r="B18" s="21" t="s">
        <v>16</v>
      </c>
      <c r="C18" s="31">
        <f>SUBTOTAL(103,$B$1:B18)-1</f>
        <v>17</v>
      </c>
      <c r="D18" s="21" t="s">
        <v>62</v>
      </c>
      <c r="E18" s="21" t="s">
        <v>18</v>
      </c>
      <c r="F18" s="21" t="s">
        <v>19</v>
      </c>
      <c r="G18" s="21" t="s">
        <v>44</v>
      </c>
      <c r="H18" s="21"/>
      <c r="I18" s="21"/>
      <c r="J18" s="21"/>
      <c r="K18" s="21" t="s">
        <v>63</v>
      </c>
      <c r="L18" s="21"/>
      <c r="M18" s="22" t="s">
        <v>64</v>
      </c>
      <c r="N18" s="23"/>
      <c r="O18" s="23"/>
      <c r="P18" s="23"/>
      <c r="Q18" s="24" t="s">
        <v>65</v>
      </c>
    </row>
    <row r="19" s="20" customFormat="1" customHeight="1" spans="1:17">
      <c r="A19" s="19">
        <v>18</v>
      </c>
      <c r="B19" s="21" t="s">
        <v>16</v>
      </c>
      <c r="C19" s="31">
        <f>SUBTOTAL(103,$B$1:B19)-1</f>
        <v>18</v>
      </c>
      <c r="D19" s="21" t="s">
        <v>62</v>
      </c>
      <c r="E19" s="21" t="s">
        <v>18</v>
      </c>
      <c r="F19" s="21" t="s">
        <v>19</v>
      </c>
      <c r="G19" s="26" t="s">
        <v>20</v>
      </c>
      <c r="H19" s="21" t="s">
        <v>21</v>
      </c>
      <c r="I19" s="21"/>
      <c r="J19" s="21"/>
      <c r="K19" s="26"/>
      <c r="L19" s="26"/>
      <c r="M19" s="22" t="s">
        <v>66</v>
      </c>
      <c r="N19" s="23"/>
      <c r="O19" s="23"/>
      <c r="P19" s="23" t="s">
        <v>52</v>
      </c>
      <c r="Q19" s="24" t="s">
        <v>67</v>
      </c>
    </row>
    <row r="20" s="20" customFormat="1" customHeight="1" spans="1:17">
      <c r="A20" s="19">
        <v>19</v>
      </c>
      <c r="B20" s="21" t="s">
        <v>16</v>
      </c>
      <c r="C20" s="31">
        <f>SUBTOTAL(103,$B$1:B20)-1</f>
        <v>19</v>
      </c>
      <c r="D20" s="21" t="s">
        <v>62</v>
      </c>
      <c r="E20" s="21" t="s">
        <v>18</v>
      </c>
      <c r="F20" s="21" t="s">
        <v>19</v>
      </c>
      <c r="G20" s="26" t="s">
        <v>20</v>
      </c>
      <c r="H20" s="21"/>
      <c r="I20" s="21"/>
      <c r="J20" s="21"/>
      <c r="K20" s="26"/>
      <c r="L20" s="26"/>
      <c r="M20" s="22" t="s">
        <v>68</v>
      </c>
      <c r="N20" s="23"/>
      <c r="O20" s="23"/>
      <c r="P20" s="23"/>
      <c r="Q20" s="24" t="s">
        <v>67</v>
      </c>
    </row>
    <row r="21" s="20" customFormat="1" customHeight="1" spans="1:17">
      <c r="A21" s="19">
        <v>20</v>
      </c>
      <c r="B21" s="21" t="s">
        <v>16</v>
      </c>
      <c r="C21" s="31">
        <f>SUBTOTAL(103,$B$1:B21)-1</f>
        <v>20</v>
      </c>
      <c r="D21" s="21" t="s">
        <v>62</v>
      </c>
      <c r="E21" s="21" t="s">
        <v>18</v>
      </c>
      <c r="F21" s="21" t="s">
        <v>19</v>
      </c>
      <c r="G21" s="21" t="s">
        <v>44</v>
      </c>
      <c r="H21" s="21" t="s">
        <v>45</v>
      </c>
      <c r="I21" s="21"/>
      <c r="J21" s="21"/>
      <c r="K21" s="21" t="s">
        <v>69</v>
      </c>
      <c r="L21" s="21"/>
      <c r="M21" s="22" t="s">
        <v>70</v>
      </c>
      <c r="N21" s="23"/>
      <c r="O21" s="23"/>
      <c r="P21" s="23" t="s">
        <v>52</v>
      </c>
      <c r="Q21" s="24" t="s">
        <v>65</v>
      </c>
    </row>
    <row r="22" s="20" customFormat="1" customHeight="1" spans="1:17">
      <c r="A22" s="19">
        <v>21</v>
      </c>
      <c r="B22" s="21" t="s">
        <v>16</v>
      </c>
      <c r="C22" s="31">
        <f>SUBTOTAL(103,$B$1:B22)-1</f>
        <v>21</v>
      </c>
      <c r="D22" s="21" t="s">
        <v>71</v>
      </c>
      <c r="E22" s="21" t="s">
        <v>18</v>
      </c>
      <c r="F22" s="21" t="s">
        <v>19</v>
      </c>
      <c r="G22" s="26" t="s">
        <v>20</v>
      </c>
      <c r="H22" s="21"/>
      <c r="I22" s="21"/>
      <c r="J22" s="21"/>
      <c r="K22" s="26"/>
      <c r="L22" s="26"/>
      <c r="M22" s="22" t="s">
        <v>72</v>
      </c>
      <c r="N22" s="23"/>
      <c r="O22" s="23"/>
      <c r="P22" s="23"/>
      <c r="Q22" s="24"/>
    </row>
    <row r="23" s="20" customFormat="1" customHeight="1" spans="1:17">
      <c r="A23" s="19">
        <v>22</v>
      </c>
      <c r="B23" s="21" t="s">
        <v>16</v>
      </c>
      <c r="C23" s="31">
        <f>SUBTOTAL(103,$B$1:B23)-1</f>
        <v>22</v>
      </c>
      <c r="D23" s="21" t="s">
        <v>71</v>
      </c>
      <c r="E23" s="21" t="s">
        <v>18</v>
      </c>
      <c r="F23" s="21" t="s">
        <v>19</v>
      </c>
      <c r="G23" s="21" t="s">
        <v>44</v>
      </c>
      <c r="H23" s="21" t="s">
        <v>45</v>
      </c>
      <c r="I23" s="21"/>
      <c r="J23" s="21"/>
      <c r="K23" s="21" t="s">
        <v>73</v>
      </c>
      <c r="L23" s="21"/>
      <c r="M23" s="22" t="s">
        <v>74</v>
      </c>
      <c r="N23" s="23"/>
      <c r="O23" s="23"/>
      <c r="P23" s="23" t="s">
        <v>75</v>
      </c>
      <c r="Q23" s="24" t="s">
        <v>76</v>
      </c>
    </row>
    <row r="24" s="20" customFormat="1" customHeight="1" spans="1:17">
      <c r="A24" s="19">
        <v>23</v>
      </c>
      <c r="B24" s="21" t="s">
        <v>16</v>
      </c>
      <c r="C24" s="31">
        <f>SUBTOTAL(103,$B$1:B24)-1</f>
        <v>23</v>
      </c>
      <c r="D24" s="26" t="s">
        <v>77</v>
      </c>
      <c r="E24" s="35" t="s">
        <v>18</v>
      </c>
      <c r="F24" s="21" t="s">
        <v>19</v>
      </c>
      <c r="G24" s="26" t="s">
        <v>20</v>
      </c>
      <c r="H24" s="21"/>
      <c r="I24" s="23"/>
      <c r="J24" s="23"/>
      <c r="K24" s="26" t="s">
        <v>78</v>
      </c>
      <c r="L24" s="26"/>
      <c r="M24" s="22" t="s">
        <v>79</v>
      </c>
      <c r="N24" s="23"/>
      <c r="O24" s="23"/>
      <c r="P24" s="23"/>
      <c r="Q24" s="24" t="s">
        <v>80</v>
      </c>
    </row>
    <row r="25" s="20" customFormat="1" customHeight="1" spans="1:17">
      <c r="A25" s="19">
        <v>24</v>
      </c>
      <c r="B25" s="21" t="s">
        <v>16</v>
      </c>
      <c r="C25" s="31">
        <f>SUBTOTAL(103,$B$1:B25)-1</f>
        <v>24</v>
      </c>
      <c r="D25" s="26" t="s">
        <v>77</v>
      </c>
      <c r="E25" s="35" t="s">
        <v>18</v>
      </c>
      <c r="F25" s="21" t="s">
        <v>19</v>
      </c>
      <c r="G25" s="26" t="s">
        <v>20</v>
      </c>
      <c r="H25" s="21"/>
      <c r="I25" s="23"/>
      <c r="J25" s="23"/>
      <c r="K25" s="26" t="s">
        <v>69</v>
      </c>
      <c r="L25" s="26"/>
      <c r="M25" s="22" t="s">
        <v>81</v>
      </c>
      <c r="N25" s="22"/>
      <c r="O25" s="22"/>
      <c r="P25" s="23"/>
      <c r="Q25" s="24" t="s">
        <v>82</v>
      </c>
    </row>
    <row r="26" s="20" customFormat="1" customHeight="1" spans="1:17">
      <c r="A26" s="19">
        <v>25</v>
      </c>
      <c r="B26" s="21" t="s">
        <v>16</v>
      </c>
      <c r="C26" s="31">
        <f>SUBTOTAL(103,$B$1:B26)-1</f>
        <v>25</v>
      </c>
      <c r="D26" s="21" t="s">
        <v>77</v>
      </c>
      <c r="E26" s="21" t="s">
        <v>18</v>
      </c>
      <c r="F26" s="21" t="s">
        <v>19</v>
      </c>
      <c r="G26" s="26" t="s">
        <v>20</v>
      </c>
      <c r="H26" s="21" t="s">
        <v>21</v>
      </c>
      <c r="I26" s="23"/>
      <c r="J26" s="23"/>
      <c r="K26" s="26" t="s">
        <v>69</v>
      </c>
      <c r="L26" s="26"/>
      <c r="M26" s="22" t="s">
        <v>83</v>
      </c>
      <c r="N26" s="22"/>
      <c r="O26" s="22"/>
      <c r="P26" s="23" t="s">
        <v>84</v>
      </c>
      <c r="Q26" s="38" t="s">
        <v>85</v>
      </c>
    </row>
    <row r="27" s="20" customFormat="1" customHeight="1" spans="1:17">
      <c r="A27" s="19">
        <v>26</v>
      </c>
      <c r="B27" s="21" t="s">
        <v>16</v>
      </c>
      <c r="C27" s="31">
        <f>SUBTOTAL(103,$B$1:B27)-1</f>
        <v>26</v>
      </c>
      <c r="D27" s="21" t="s">
        <v>77</v>
      </c>
      <c r="E27" s="21" t="s">
        <v>18</v>
      </c>
      <c r="F27" s="39" t="s">
        <v>19</v>
      </c>
      <c r="G27" s="26" t="s">
        <v>20</v>
      </c>
      <c r="H27" s="21"/>
      <c r="I27" s="40"/>
      <c r="J27" s="40"/>
      <c r="K27" s="26" t="s">
        <v>28</v>
      </c>
      <c r="L27" s="26"/>
      <c r="M27" s="22" t="s">
        <v>86</v>
      </c>
      <c r="N27" s="41"/>
      <c r="O27" s="41"/>
      <c r="P27" s="23"/>
      <c r="Q27" s="37" t="s">
        <v>85</v>
      </c>
    </row>
    <row r="28" s="20" customFormat="1" customHeight="1" spans="1:17">
      <c r="A28" s="19">
        <v>27</v>
      </c>
      <c r="B28" s="21" t="s">
        <v>16</v>
      </c>
      <c r="C28" s="31">
        <f>SUBTOTAL(103,$B$1:B28)-1</f>
        <v>27</v>
      </c>
      <c r="D28" s="21" t="s">
        <v>77</v>
      </c>
      <c r="E28" s="21" t="s">
        <v>18</v>
      </c>
      <c r="F28" s="21" t="s">
        <v>19</v>
      </c>
      <c r="G28" s="21" t="s">
        <v>44</v>
      </c>
      <c r="H28" s="21" t="s">
        <v>45</v>
      </c>
      <c r="I28" s="21"/>
      <c r="J28" s="21"/>
      <c r="K28" s="21" t="s">
        <v>69</v>
      </c>
      <c r="L28" s="21"/>
      <c r="M28" s="22" t="s">
        <v>87</v>
      </c>
      <c r="N28" s="23"/>
      <c r="O28" s="23"/>
      <c r="P28" s="23" t="s">
        <v>84</v>
      </c>
      <c r="Q28" s="24" t="s">
        <v>80</v>
      </c>
    </row>
    <row r="29" s="20" customFormat="1" customHeight="1" spans="1:17">
      <c r="A29" s="19">
        <v>28</v>
      </c>
      <c r="B29" s="21" t="s">
        <v>16</v>
      </c>
      <c r="C29" s="31">
        <f>SUBTOTAL(103,$B$1:B29)-1</f>
        <v>28</v>
      </c>
      <c r="D29" s="21" t="s">
        <v>77</v>
      </c>
      <c r="E29" s="21" t="s">
        <v>18</v>
      </c>
      <c r="F29" s="21" t="s">
        <v>19</v>
      </c>
      <c r="G29" s="21" t="s">
        <v>44</v>
      </c>
      <c r="H29" s="21" t="s">
        <v>45</v>
      </c>
      <c r="I29" s="21"/>
      <c r="J29" s="21"/>
      <c r="K29" s="21" t="s">
        <v>46</v>
      </c>
      <c r="L29" s="21"/>
      <c r="M29" s="22" t="s">
        <v>88</v>
      </c>
      <c r="N29" s="23"/>
      <c r="O29" s="23"/>
      <c r="P29" s="23" t="s">
        <v>84</v>
      </c>
      <c r="Q29" s="24" t="s">
        <v>82</v>
      </c>
    </row>
    <row r="30" s="20" customFormat="1" customHeight="1" spans="1:17">
      <c r="A30" s="19">
        <v>29</v>
      </c>
      <c r="B30" s="21" t="s">
        <v>89</v>
      </c>
      <c r="C30" s="31">
        <f>SUBTOTAL(103,$B$1:B30)-1</f>
        <v>29</v>
      </c>
      <c r="D30" s="21" t="s">
        <v>17</v>
      </c>
      <c r="E30" s="21" t="s">
        <v>18</v>
      </c>
      <c r="F30" s="21" t="s">
        <v>90</v>
      </c>
      <c r="G30" s="26" t="s">
        <v>20</v>
      </c>
      <c r="H30" s="21" t="s">
        <v>21</v>
      </c>
      <c r="I30" s="23"/>
      <c r="J30" s="23"/>
      <c r="K30" s="26" t="s">
        <v>31</v>
      </c>
      <c r="L30" s="26"/>
      <c r="M30" s="22" t="s">
        <v>91</v>
      </c>
      <c r="N30" s="23"/>
      <c r="O30" s="23"/>
      <c r="P30" s="23" t="s">
        <v>24</v>
      </c>
      <c r="Q30" s="37" t="s">
        <v>92</v>
      </c>
    </row>
    <row r="31" s="20" customFormat="1" customHeight="1" spans="1:17">
      <c r="A31" s="19">
        <v>30</v>
      </c>
      <c r="B31" s="21" t="s">
        <v>89</v>
      </c>
      <c r="C31" s="31">
        <f>SUBTOTAL(103,$B$1:B31)-1</f>
        <v>30</v>
      </c>
      <c r="D31" s="21" t="s">
        <v>17</v>
      </c>
      <c r="E31" s="21" t="s">
        <v>18</v>
      </c>
      <c r="F31" s="21" t="s">
        <v>90</v>
      </c>
      <c r="G31" s="26" t="s">
        <v>20</v>
      </c>
      <c r="H31" s="21" t="s">
        <v>21</v>
      </c>
      <c r="I31" s="23"/>
      <c r="J31" s="23"/>
      <c r="K31" s="26" t="s">
        <v>69</v>
      </c>
      <c r="L31" s="26"/>
      <c r="M31" s="22" t="s">
        <v>93</v>
      </c>
      <c r="N31" s="23"/>
      <c r="O31" s="23"/>
      <c r="P31" s="23" t="s">
        <v>24</v>
      </c>
      <c r="Q31" s="24" t="s">
        <v>94</v>
      </c>
    </row>
    <row r="32" s="20" customFormat="1" customHeight="1" spans="1:17">
      <c r="A32" s="19">
        <v>31</v>
      </c>
      <c r="B32" s="21" t="s">
        <v>89</v>
      </c>
      <c r="C32" s="31">
        <f>SUBTOTAL(103,$B$1:B32)-1</f>
        <v>31</v>
      </c>
      <c r="D32" s="21" t="s">
        <v>17</v>
      </c>
      <c r="E32" s="21" t="s">
        <v>18</v>
      </c>
      <c r="F32" s="21" t="s">
        <v>90</v>
      </c>
      <c r="G32" s="26" t="s">
        <v>20</v>
      </c>
      <c r="H32" s="21" t="s">
        <v>21</v>
      </c>
      <c r="I32" s="23"/>
      <c r="J32" s="23"/>
      <c r="K32" s="26" t="s">
        <v>69</v>
      </c>
      <c r="L32" s="26"/>
      <c r="M32" s="22" t="s">
        <v>95</v>
      </c>
      <c r="N32" s="23"/>
      <c r="O32" s="23"/>
      <c r="P32" s="23" t="s">
        <v>24</v>
      </c>
      <c r="Q32" s="37" t="s">
        <v>94</v>
      </c>
    </row>
    <row r="33" s="20" customFormat="1" customHeight="1" spans="1:17">
      <c r="A33" s="19">
        <v>32</v>
      </c>
      <c r="B33" s="21" t="s">
        <v>89</v>
      </c>
      <c r="C33" s="31">
        <f>SUBTOTAL(103,$B$1:B33)-1</f>
        <v>32</v>
      </c>
      <c r="D33" s="21" t="s">
        <v>17</v>
      </c>
      <c r="E33" s="21" t="s">
        <v>18</v>
      </c>
      <c r="F33" s="21" t="s">
        <v>90</v>
      </c>
      <c r="G33" s="26" t="s">
        <v>20</v>
      </c>
      <c r="H33" s="21" t="s">
        <v>21</v>
      </c>
      <c r="I33" s="23"/>
      <c r="J33" s="23"/>
      <c r="K33" s="26" t="s">
        <v>69</v>
      </c>
      <c r="L33" s="26"/>
      <c r="M33" s="22" t="s">
        <v>96</v>
      </c>
      <c r="N33" s="23"/>
      <c r="O33" s="23"/>
      <c r="P33" s="23" t="s">
        <v>24</v>
      </c>
      <c r="Q33" s="24" t="s">
        <v>94</v>
      </c>
    </row>
    <row r="34" s="20" customFormat="1" customHeight="1" spans="1:17">
      <c r="A34" s="19">
        <v>33</v>
      </c>
      <c r="B34" s="21" t="s">
        <v>89</v>
      </c>
      <c r="C34" s="31">
        <f>SUBTOTAL(103,$B$1:B34)-1</f>
        <v>33</v>
      </c>
      <c r="D34" s="21" t="s">
        <v>17</v>
      </c>
      <c r="E34" s="26" t="s">
        <v>18</v>
      </c>
      <c r="F34" s="21" t="s">
        <v>90</v>
      </c>
      <c r="G34" s="26" t="s">
        <v>20</v>
      </c>
      <c r="H34" s="21" t="s">
        <v>21</v>
      </c>
      <c r="I34" s="21"/>
      <c r="J34" s="19"/>
      <c r="K34" s="26" t="s">
        <v>97</v>
      </c>
      <c r="L34" s="26"/>
      <c r="M34" s="22" t="s">
        <v>98</v>
      </c>
      <c r="N34" s="23"/>
      <c r="O34" s="23"/>
      <c r="P34" s="23" t="s">
        <v>24</v>
      </c>
      <c r="Q34" s="24" t="s">
        <v>99</v>
      </c>
    </row>
    <row r="35" s="20" customFormat="1" customHeight="1" spans="1:17">
      <c r="A35" s="19">
        <v>34</v>
      </c>
      <c r="B35" s="21" t="s">
        <v>89</v>
      </c>
      <c r="C35" s="31">
        <f>SUBTOTAL(103,$B$1:B35)-1</f>
        <v>34</v>
      </c>
      <c r="D35" s="21" t="s">
        <v>17</v>
      </c>
      <c r="E35" s="26" t="s">
        <v>18</v>
      </c>
      <c r="F35" s="21" t="s">
        <v>90</v>
      </c>
      <c r="G35" s="26" t="s">
        <v>20</v>
      </c>
      <c r="H35" s="21" t="s">
        <v>21</v>
      </c>
      <c r="I35" s="19"/>
      <c r="J35" s="19"/>
      <c r="K35" s="26" t="s">
        <v>97</v>
      </c>
      <c r="L35" s="26"/>
      <c r="M35" s="22" t="s">
        <v>100</v>
      </c>
      <c r="N35" s="23"/>
      <c r="O35" s="23"/>
      <c r="P35" s="23" t="s">
        <v>24</v>
      </c>
      <c r="Q35" s="24" t="s">
        <v>99</v>
      </c>
    </row>
    <row r="36" s="20" customFormat="1" customHeight="1" spans="1:17">
      <c r="A36" s="19">
        <v>35</v>
      </c>
      <c r="B36" s="21" t="s">
        <v>89</v>
      </c>
      <c r="C36" s="31">
        <f>SUBTOTAL(103,$B$1:B36)-1</f>
        <v>35</v>
      </c>
      <c r="D36" s="26" t="s">
        <v>17</v>
      </c>
      <c r="E36" s="26" t="s">
        <v>18</v>
      </c>
      <c r="F36" s="26" t="s">
        <v>90</v>
      </c>
      <c r="G36" s="26" t="s">
        <v>20</v>
      </c>
      <c r="H36" s="21" t="s">
        <v>21</v>
      </c>
      <c r="I36" s="26" t="s">
        <v>26</v>
      </c>
      <c r="J36" s="21"/>
      <c r="K36" s="26" t="s">
        <v>36</v>
      </c>
      <c r="L36" s="26"/>
      <c r="M36" s="22" t="s">
        <v>101</v>
      </c>
      <c r="N36" s="34"/>
      <c r="O36" s="34"/>
      <c r="P36" s="23" t="s">
        <v>24</v>
      </c>
      <c r="Q36" s="24" t="s">
        <v>102</v>
      </c>
    </row>
    <row r="37" s="20" customFormat="1" customHeight="1" spans="1:17">
      <c r="A37" s="19">
        <v>36</v>
      </c>
      <c r="B37" s="21" t="s">
        <v>89</v>
      </c>
      <c r="C37" s="31">
        <f>SUBTOTAL(103,$B$1:B37)-1</f>
        <v>36</v>
      </c>
      <c r="D37" s="26" t="s">
        <v>17</v>
      </c>
      <c r="E37" s="26" t="s">
        <v>18</v>
      </c>
      <c r="F37" s="26" t="s">
        <v>90</v>
      </c>
      <c r="G37" s="26" t="s">
        <v>20</v>
      </c>
      <c r="H37" s="21" t="s">
        <v>21</v>
      </c>
      <c r="I37" s="26" t="s">
        <v>26</v>
      </c>
      <c r="J37" s="21"/>
      <c r="K37" s="26" t="s">
        <v>36</v>
      </c>
      <c r="L37" s="26"/>
      <c r="M37" s="22" t="s">
        <v>103</v>
      </c>
      <c r="N37" s="34"/>
      <c r="O37" s="34"/>
      <c r="P37" s="23" t="s">
        <v>24</v>
      </c>
      <c r="Q37" s="38" t="s">
        <v>104</v>
      </c>
    </row>
    <row r="38" s="20" customFormat="1" customHeight="1" spans="1:17">
      <c r="A38" s="19">
        <v>37</v>
      </c>
      <c r="B38" s="21" t="s">
        <v>89</v>
      </c>
      <c r="C38" s="31">
        <f>SUBTOTAL(103,$B$1:B38)-1</f>
        <v>37</v>
      </c>
      <c r="D38" s="26" t="s">
        <v>17</v>
      </c>
      <c r="E38" s="26" t="s">
        <v>18</v>
      </c>
      <c r="F38" s="26" t="s">
        <v>90</v>
      </c>
      <c r="G38" s="26" t="s">
        <v>20</v>
      </c>
      <c r="H38" s="21" t="s">
        <v>21</v>
      </c>
      <c r="I38" s="21"/>
      <c r="J38" s="21"/>
      <c r="K38" s="26" t="s">
        <v>105</v>
      </c>
      <c r="L38" s="26"/>
      <c r="M38" s="22" t="s">
        <v>106</v>
      </c>
      <c r="N38" s="22"/>
      <c r="O38" s="22"/>
      <c r="P38" s="23" t="s">
        <v>24</v>
      </c>
      <c r="Q38" s="24" t="s">
        <v>107</v>
      </c>
    </row>
    <row r="39" s="20" customFormat="1" customHeight="1" spans="1:17">
      <c r="A39" s="19">
        <v>38</v>
      </c>
      <c r="B39" s="21" t="s">
        <v>89</v>
      </c>
      <c r="C39" s="31">
        <f>SUBTOTAL(103,$B$1:B39)-1</f>
        <v>38</v>
      </c>
      <c r="D39" s="21" t="s">
        <v>17</v>
      </c>
      <c r="E39" s="26" t="s">
        <v>18</v>
      </c>
      <c r="F39" s="26" t="s">
        <v>90</v>
      </c>
      <c r="G39" s="26" t="s">
        <v>20</v>
      </c>
      <c r="H39" s="21" t="s">
        <v>21</v>
      </c>
      <c r="I39" s="26" t="s">
        <v>33</v>
      </c>
      <c r="J39" s="21"/>
      <c r="K39" s="26" t="s">
        <v>97</v>
      </c>
      <c r="L39" s="26"/>
      <c r="M39" s="22" t="s">
        <v>108</v>
      </c>
      <c r="N39" s="42"/>
      <c r="O39" s="42"/>
      <c r="P39" s="23" t="s">
        <v>24</v>
      </c>
      <c r="Q39" s="24" t="s">
        <v>109</v>
      </c>
    </row>
    <row r="40" s="20" customFormat="1" customHeight="1" spans="1:17">
      <c r="A40" s="19">
        <v>39</v>
      </c>
      <c r="B40" s="21" t="s">
        <v>89</v>
      </c>
      <c r="C40" s="31">
        <f>SUBTOTAL(103,$B$1:B40)-1</f>
        <v>39</v>
      </c>
      <c r="D40" s="21" t="s">
        <v>17</v>
      </c>
      <c r="E40" s="26" t="s">
        <v>18</v>
      </c>
      <c r="F40" s="26" t="s">
        <v>90</v>
      </c>
      <c r="G40" s="26" t="s">
        <v>20</v>
      </c>
      <c r="H40" s="21" t="s">
        <v>21</v>
      </c>
      <c r="I40" s="21"/>
      <c r="J40" s="21"/>
      <c r="K40" s="26" t="s">
        <v>105</v>
      </c>
      <c r="L40" s="26"/>
      <c r="M40" s="22" t="s">
        <v>110</v>
      </c>
      <c r="N40" s="23"/>
      <c r="O40" s="23"/>
      <c r="P40" s="23" t="s">
        <v>24</v>
      </c>
      <c r="Q40" s="24" t="s">
        <v>111</v>
      </c>
    </row>
    <row r="41" s="20" customFormat="1" customHeight="1" spans="1:17">
      <c r="A41" s="19">
        <v>40</v>
      </c>
      <c r="B41" s="21" t="s">
        <v>89</v>
      </c>
      <c r="C41" s="31">
        <f>SUBTOTAL(103,$B$1:B41)-1</f>
        <v>40</v>
      </c>
      <c r="D41" s="21" t="s">
        <v>17</v>
      </c>
      <c r="E41" s="26" t="s">
        <v>18</v>
      </c>
      <c r="F41" s="26" t="s">
        <v>90</v>
      </c>
      <c r="G41" s="26" t="s">
        <v>20</v>
      </c>
      <c r="H41" s="21" t="s">
        <v>21</v>
      </c>
      <c r="I41" s="21"/>
      <c r="J41" s="21"/>
      <c r="K41" s="26" t="s">
        <v>112</v>
      </c>
      <c r="L41" s="26"/>
      <c r="M41" s="22" t="s">
        <v>113</v>
      </c>
      <c r="N41" s="23"/>
      <c r="O41" s="23"/>
      <c r="P41" s="23" t="s">
        <v>24</v>
      </c>
      <c r="Q41" s="24" t="s">
        <v>111</v>
      </c>
    </row>
    <row r="42" s="20" customFormat="1" customHeight="1" spans="1:17">
      <c r="A42" s="19">
        <v>41</v>
      </c>
      <c r="B42" s="21" t="s">
        <v>89</v>
      </c>
      <c r="C42" s="31">
        <f>SUBTOTAL(103,$B$1:B42)-1</f>
        <v>41</v>
      </c>
      <c r="D42" s="21" t="s">
        <v>17</v>
      </c>
      <c r="E42" s="26" t="s">
        <v>18</v>
      </c>
      <c r="F42" s="21" t="s">
        <v>90</v>
      </c>
      <c r="G42" s="21" t="s">
        <v>114</v>
      </c>
      <c r="H42" s="21" t="s">
        <v>45</v>
      </c>
      <c r="I42" s="21"/>
      <c r="J42" s="21"/>
      <c r="K42" s="21" t="s">
        <v>115</v>
      </c>
      <c r="L42" s="21"/>
      <c r="M42" s="22" t="s">
        <v>116</v>
      </c>
      <c r="N42" s="22"/>
      <c r="O42" s="22"/>
      <c r="P42" s="23" t="s">
        <v>24</v>
      </c>
      <c r="Q42" s="38" t="s">
        <v>111</v>
      </c>
    </row>
    <row r="43" s="20" customFormat="1" customHeight="1" spans="1:17">
      <c r="A43" s="19">
        <v>42</v>
      </c>
      <c r="B43" s="21" t="s">
        <v>89</v>
      </c>
      <c r="C43" s="31">
        <f>SUBTOTAL(103,$B$1:B43)-1</f>
        <v>42</v>
      </c>
      <c r="D43" s="21" t="s">
        <v>17</v>
      </c>
      <c r="E43" s="21" t="s">
        <v>18</v>
      </c>
      <c r="F43" s="21" t="s">
        <v>90</v>
      </c>
      <c r="G43" s="21" t="s">
        <v>114</v>
      </c>
      <c r="H43" s="21" t="s">
        <v>45</v>
      </c>
      <c r="I43" s="21"/>
      <c r="J43" s="21"/>
      <c r="K43" s="21" t="s">
        <v>117</v>
      </c>
      <c r="L43" s="21"/>
      <c r="M43" s="22" t="s">
        <v>118</v>
      </c>
      <c r="N43" s="23"/>
      <c r="O43" s="23"/>
      <c r="P43" s="23" t="s">
        <v>24</v>
      </c>
      <c r="Q43" s="24" t="s">
        <v>109</v>
      </c>
    </row>
    <row r="44" s="20" customFormat="1" customHeight="1" spans="1:17">
      <c r="A44" s="19">
        <v>43</v>
      </c>
      <c r="B44" s="21" t="s">
        <v>89</v>
      </c>
      <c r="C44" s="31">
        <f>SUBTOTAL(103,$B$1:B44)-1</f>
        <v>43</v>
      </c>
      <c r="D44" s="26" t="s">
        <v>38</v>
      </c>
      <c r="E44" s="21" t="s">
        <v>18</v>
      </c>
      <c r="F44" s="26" t="s">
        <v>90</v>
      </c>
      <c r="G44" s="26" t="s">
        <v>20</v>
      </c>
      <c r="H44" s="21" t="s">
        <v>21</v>
      </c>
      <c r="I44" s="21"/>
      <c r="J44" s="21"/>
      <c r="K44" s="26"/>
      <c r="L44" s="26"/>
      <c r="M44" s="22" t="s">
        <v>119</v>
      </c>
      <c r="N44" s="23"/>
      <c r="O44" s="23"/>
      <c r="P44" s="23" t="s">
        <v>52</v>
      </c>
      <c r="Q44" s="24" t="s">
        <v>120</v>
      </c>
    </row>
    <row r="45" s="20" customFormat="1" customHeight="1" spans="1:17">
      <c r="A45" s="19">
        <v>44</v>
      </c>
      <c r="B45" s="21" t="s">
        <v>89</v>
      </c>
      <c r="C45" s="31">
        <f>SUBTOTAL(103,$B$1:B45)-1</f>
        <v>44</v>
      </c>
      <c r="D45" s="26" t="s">
        <v>38</v>
      </c>
      <c r="E45" s="21" t="s">
        <v>18</v>
      </c>
      <c r="F45" s="26" t="s">
        <v>90</v>
      </c>
      <c r="G45" s="26" t="s">
        <v>20</v>
      </c>
      <c r="H45" s="21" t="s">
        <v>21</v>
      </c>
      <c r="I45" s="21"/>
      <c r="J45" s="21"/>
      <c r="K45" s="26"/>
      <c r="L45" s="26"/>
      <c r="M45" s="22" t="s">
        <v>121</v>
      </c>
      <c r="N45" s="23"/>
      <c r="O45" s="23"/>
      <c r="P45" s="23" t="s">
        <v>52</v>
      </c>
      <c r="Q45" s="24" t="s">
        <v>120</v>
      </c>
    </row>
    <row r="46" s="20" customFormat="1" customHeight="1" spans="1:17">
      <c r="A46" s="19">
        <v>45</v>
      </c>
      <c r="B46" s="21" t="s">
        <v>89</v>
      </c>
      <c r="C46" s="31">
        <f>SUBTOTAL(103,$B$1:B46)-1</f>
        <v>45</v>
      </c>
      <c r="D46" s="21" t="s">
        <v>38</v>
      </c>
      <c r="E46" s="21" t="s">
        <v>18</v>
      </c>
      <c r="F46" s="26" t="s">
        <v>90</v>
      </c>
      <c r="G46" s="26" t="s">
        <v>20</v>
      </c>
      <c r="H46" s="21" t="s">
        <v>21</v>
      </c>
      <c r="I46" s="21"/>
      <c r="J46" s="21"/>
      <c r="K46" s="26"/>
      <c r="L46" s="26"/>
      <c r="M46" s="22" t="s">
        <v>122</v>
      </c>
      <c r="N46" s="23"/>
      <c r="O46" s="23"/>
      <c r="P46" s="23" t="s">
        <v>52</v>
      </c>
      <c r="Q46" s="24" t="s">
        <v>120</v>
      </c>
    </row>
    <row r="47" s="20" customFormat="1" customHeight="1" spans="1:17">
      <c r="A47" s="19">
        <v>46</v>
      </c>
      <c r="B47" s="21" t="s">
        <v>89</v>
      </c>
      <c r="C47" s="31">
        <f>SUBTOTAL(103,$B$1:B47)-1</f>
        <v>46</v>
      </c>
      <c r="D47" s="21" t="s">
        <v>38</v>
      </c>
      <c r="E47" s="21" t="s">
        <v>18</v>
      </c>
      <c r="F47" s="26" t="s">
        <v>90</v>
      </c>
      <c r="G47" s="26" t="s">
        <v>20</v>
      </c>
      <c r="H47" s="21"/>
      <c r="I47" s="21"/>
      <c r="J47" s="21"/>
      <c r="K47" s="26"/>
      <c r="L47" s="26"/>
      <c r="M47" s="22" t="s">
        <v>123</v>
      </c>
      <c r="N47" s="23"/>
      <c r="O47" s="23"/>
      <c r="P47" s="23"/>
      <c r="Q47" s="24" t="s">
        <v>124</v>
      </c>
    </row>
    <row r="48" s="20" customFormat="1" customHeight="1" spans="1:17">
      <c r="A48" s="19">
        <v>47</v>
      </c>
      <c r="B48" s="21" t="s">
        <v>89</v>
      </c>
      <c r="C48" s="31">
        <f>SUBTOTAL(103,$B$1:B48)-1</f>
        <v>47</v>
      </c>
      <c r="D48" s="21" t="s">
        <v>38</v>
      </c>
      <c r="E48" s="21" t="s">
        <v>18</v>
      </c>
      <c r="F48" s="26" t="s">
        <v>90</v>
      </c>
      <c r="G48" s="26" t="s">
        <v>20</v>
      </c>
      <c r="H48" s="21" t="s">
        <v>21</v>
      </c>
      <c r="I48" s="21"/>
      <c r="J48" s="21"/>
      <c r="K48" s="26"/>
      <c r="L48" s="26"/>
      <c r="M48" s="22" t="s">
        <v>125</v>
      </c>
      <c r="N48" s="23"/>
      <c r="O48" s="23"/>
      <c r="P48" s="23" t="s">
        <v>40</v>
      </c>
      <c r="Q48" s="24" t="s">
        <v>126</v>
      </c>
    </row>
    <row r="49" s="20" customFormat="1" customHeight="1" spans="1:17">
      <c r="A49" s="19">
        <v>48</v>
      </c>
      <c r="B49" s="21" t="s">
        <v>89</v>
      </c>
      <c r="C49" s="31">
        <f>SUBTOTAL(103,$B$1:B49)-1</f>
        <v>48</v>
      </c>
      <c r="D49" s="21" t="s">
        <v>38</v>
      </c>
      <c r="E49" s="21" t="s">
        <v>18</v>
      </c>
      <c r="F49" s="26" t="s">
        <v>90</v>
      </c>
      <c r="G49" s="26" t="s">
        <v>20</v>
      </c>
      <c r="H49" s="21" t="s">
        <v>21</v>
      </c>
      <c r="I49" s="21"/>
      <c r="J49" s="21"/>
      <c r="K49" s="26"/>
      <c r="L49" s="26"/>
      <c r="M49" s="22" t="s">
        <v>127</v>
      </c>
      <c r="N49" s="23"/>
      <c r="O49" s="23"/>
      <c r="P49" s="23" t="s">
        <v>40</v>
      </c>
      <c r="Q49" s="24" t="s">
        <v>126</v>
      </c>
    </row>
    <row r="50" s="20" customFormat="1" customHeight="1" spans="1:17">
      <c r="A50" s="19">
        <v>49</v>
      </c>
      <c r="B50" s="21" t="s">
        <v>89</v>
      </c>
      <c r="C50" s="31">
        <f>SUBTOTAL(103,$B$1:B50)-1</f>
        <v>49</v>
      </c>
      <c r="D50" s="21" t="s">
        <v>38</v>
      </c>
      <c r="E50" s="21" t="s">
        <v>18</v>
      </c>
      <c r="F50" s="21" t="s">
        <v>90</v>
      </c>
      <c r="G50" s="26" t="s">
        <v>20</v>
      </c>
      <c r="H50" s="21" t="s">
        <v>21</v>
      </c>
      <c r="I50" s="23"/>
      <c r="J50" s="23"/>
      <c r="K50" s="26"/>
      <c r="L50" s="26"/>
      <c r="M50" s="22" t="s">
        <v>128</v>
      </c>
      <c r="N50" s="22"/>
      <c r="O50" s="22"/>
      <c r="P50" s="23" t="s">
        <v>40</v>
      </c>
      <c r="Q50" s="38" t="s">
        <v>126</v>
      </c>
    </row>
    <row r="51" s="20" customFormat="1" customHeight="1" spans="1:17">
      <c r="A51" s="19">
        <v>50</v>
      </c>
      <c r="B51" s="21" t="s">
        <v>89</v>
      </c>
      <c r="C51" s="31">
        <f>SUBTOTAL(103,$B$1:B51)-1</f>
        <v>50</v>
      </c>
      <c r="D51" s="21" t="s">
        <v>38</v>
      </c>
      <c r="E51" s="35" t="s">
        <v>18</v>
      </c>
      <c r="F51" s="21" t="s">
        <v>90</v>
      </c>
      <c r="G51" s="26" t="s">
        <v>20</v>
      </c>
      <c r="H51" s="21" t="s">
        <v>21</v>
      </c>
      <c r="I51" s="23"/>
      <c r="J51" s="23"/>
      <c r="K51" s="26"/>
      <c r="L51" s="26"/>
      <c r="M51" s="22" t="s">
        <v>129</v>
      </c>
      <c r="N51" s="22"/>
      <c r="O51" s="22"/>
      <c r="P51" s="23" t="s">
        <v>52</v>
      </c>
      <c r="Q51" s="38" t="s">
        <v>120</v>
      </c>
    </row>
    <row r="52" s="20" customFormat="1" customHeight="1" spans="1:17">
      <c r="A52" s="19">
        <v>51</v>
      </c>
      <c r="B52" s="21" t="s">
        <v>89</v>
      </c>
      <c r="C52" s="31">
        <f>SUBTOTAL(103,$B$1:B52)-1</f>
        <v>51</v>
      </c>
      <c r="D52" s="21" t="s">
        <v>38</v>
      </c>
      <c r="E52" s="35" t="s">
        <v>18</v>
      </c>
      <c r="F52" s="21" t="s">
        <v>90</v>
      </c>
      <c r="G52" s="21" t="s">
        <v>114</v>
      </c>
      <c r="H52" s="21" t="s">
        <v>45</v>
      </c>
      <c r="I52" s="23"/>
      <c r="J52" s="23"/>
      <c r="K52" s="23" t="s">
        <v>117</v>
      </c>
      <c r="L52" s="23"/>
      <c r="M52" s="22" t="s">
        <v>130</v>
      </c>
      <c r="N52" s="22"/>
      <c r="O52" s="22"/>
      <c r="P52" s="23" t="s">
        <v>52</v>
      </c>
      <c r="Q52" s="38" t="s">
        <v>120</v>
      </c>
    </row>
    <row r="53" s="20" customFormat="1" customHeight="1" spans="1:17">
      <c r="A53" s="19">
        <v>52</v>
      </c>
      <c r="B53" s="21" t="s">
        <v>89</v>
      </c>
      <c r="C53" s="31">
        <f>SUBTOTAL(103,$B$1:B53)-1</f>
        <v>52</v>
      </c>
      <c r="D53" s="21" t="s">
        <v>38</v>
      </c>
      <c r="E53" s="21" t="s">
        <v>18</v>
      </c>
      <c r="F53" s="21" t="s">
        <v>90</v>
      </c>
      <c r="G53" s="26" t="s">
        <v>20</v>
      </c>
      <c r="H53" s="21" t="s">
        <v>21</v>
      </c>
      <c r="I53" s="23"/>
      <c r="J53" s="23"/>
      <c r="K53" s="26"/>
      <c r="L53" s="26"/>
      <c r="M53" s="22" t="s">
        <v>131</v>
      </c>
      <c r="N53" s="23"/>
      <c r="O53" s="23"/>
      <c r="P53" s="23" t="s">
        <v>52</v>
      </c>
      <c r="Q53" s="24" t="s">
        <v>132</v>
      </c>
    </row>
    <row r="54" s="20" customFormat="1" customHeight="1" spans="1:17">
      <c r="A54" s="19">
        <v>53</v>
      </c>
      <c r="B54" s="21" t="s">
        <v>89</v>
      </c>
      <c r="C54" s="31">
        <f>SUBTOTAL(103,$B$1:B54)-1</f>
        <v>53</v>
      </c>
      <c r="D54" s="21" t="s">
        <v>38</v>
      </c>
      <c r="E54" s="21" t="s">
        <v>18</v>
      </c>
      <c r="F54" s="21" t="s">
        <v>90</v>
      </c>
      <c r="G54" s="21" t="s">
        <v>114</v>
      </c>
      <c r="H54" s="21" t="s">
        <v>45</v>
      </c>
      <c r="I54" s="23"/>
      <c r="J54" s="23"/>
      <c r="K54" s="23" t="s">
        <v>115</v>
      </c>
      <c r="L54" s="23"/>
      <c r="M54" s="22" t="s">
        <v>133</v>
      </c>
      <c r="N54" s="23"/>
      <c r="O54" s="23"/>
      <c r="P54" s="23" t="s">
        <v>24</v>
      </c>
      <c r="Q54" s="24" t="s">
        <v>134</v>
      </c>
    </row>
    <row r="55" s="20" customFormat="1" customHeight="1" spans="1:17">
      <c r="A55" s="19">
        <v>54</v>
      </c>
      <c r="B55" s="21" t="s">
        <v>89</v>
      </c>
      <c r="C55" s="31">
        <f>SUBTOTAL(103,$B$1:B55)-1</f>
        <v>54</v>
      </c>
      <c r="D55" s="21" t="s">
        <v>38</v>
      </c>
      <c r="E55" s="21" t="s">
        <v>18</v>
      </c>
      <c r="F55" s="21" t="s">
        <v>90</v>
      </c>
      <c r="G55" s="26" t="s">
        <v>20</v>
      </c>
      <c r="H55" s="21" t="s">
        <v>21</v>
      </c>
      <c r="I55" s="23"/>
      <c r="J55" s="23"/>
      <c r="K55" s="26"/>
      <c r="L55" s="26"/>
      <c r="M55" s="22" t="s">
        <v>135</v>
      </c>
      <c r="N55" s="23"/>
      <c r="O55" s="23"/>
      <c r="P55" s="23" t="s">
        <v>24</v>
      </c>
      <c r="Q55" s="24" t="s">
        <v>134</v>
      </c>
    </row>
    <row r="56" s="20" customFormat="1" customHeight="1" spans="1:17">
      <c r="A56" s="19">
        <v>55</v>
      </c>
      <c r="B56" s="21" t="s">
        <v>89</v>
      </c>
      <c r="C56" s="31">
        <f>SUBTOTAL(103,$B$1:B56)-1</f>
        <v>55</v>
      </c>
      <c r="D56" s="21" t="s">
        <v>38</v>
      </c>
      <c r="E56" s="21" t="s">
        <v>18</v>
      </c>
      <c r="F56" s="21" t="s">
        <v>90</v>
      </c>
      <c r="G56" s="26" t="s">
        <v>20</v>
      </c>
      <c r="H56" s="21" t="s">
        <v>21</v>
      </c>
      <c r="I56" s="23"/>
      <c r="J56" s="23"/>
      <c r="K56" s="26"/>
      <c r="L56" s="26"/>
      <c r="M56" s="22" t="s">
        <v>136</v>
      </c>
      <c r="N56" s="23"/>
      <c r="O56" s="23"/>
      <c r="P56" s="23" t="s">
        <v>24</v>
      </c>
      <c r="Q56" s="24" t="s">
        <v>134</v>
      </c>
    </row>
    <row r="57" s="20" customFormat="1" customHeight="1" spans="1:17">
      <c r="A57" s="19">
        <v>56</v>
      </c>
      <c r="B57" s="21" t="s">
        <v>89</v>
      </c>
      <c r="C57" s="31">
        <f>SUBTOTAL(103,$B$1:B57)-1</f>
        <v>56</v>
      </c>
      <c r="D57" s="35" t="s">
        <v>38</v>
      </c>
      <c r="E57" s="35" t="s">
        <v>18</v>
      </c>
      <c r="F57" s="21" t="s">
        <v>90</v>
      </c>
      <c r="G57" s="26" t="s">
        <v>20</v>
      </c>
      <c r="H57" s="21" t="s">
        <v>21</v>
      </c>
      <c r="I57" s="23"/>
      <c r="J57" s="23"/>
      <c r="K57" s="26"/>
      <c r="L57" s="26"/>
      <c r="M57" s="22" t="s">
        <v>137</v>
      </c>
      <c r="N57" s="43"/>
      <c r="O57" s="43"/>
      <c r="P57" s="23" t="s">
        <v>24</v>
      </c>
      <c r="Q57" s="36" t="s">
        <v>134</v>
      </c>
    </row>
    <row r="58" s="20" customFormat="1" customHeight="1" spans="1:17">
      <c r="A58" s="19">
        <v>57</v>
      </c>
      <c r="B58" s="21" t="s">
        <v>89</v>
      </c>
      <c r="C58" s="31">
        <f>SUBTOTAL(103,$B$1:B58)-1</f>
        <v>57</v>
      </c>
      <c r="D58" s="35" t="s">
        <v>38</v>
      </c>
      <c r="E58" s="35" t="s">
        <v>18</v>
      </c>
      <c r="F58" s="21" t="s">
        <v>90</v>
      </c>
      <c r="G58" s="26" t="s">
        <v>20</v>
      </c>
      <c r="H58" s="21" t="s">
        <v>21</v>
      </c>
      <c r="I58" s="23"/>
      <c r="J58" s="23"/>
      <c r="K58" s="26"/>
      <c r="L58" s="26"/>
      <c r="M58" s="22" t="s">
        <v>138</v>
      </c>
      <c r="N58" s="41"/>
      <c r="O58" s="41"/>
      <c r="P58" s="23" t="s">
        <v>24</v>
      </c>
      <c r="Q58" s="38" t="s">
        <v>134</v>
      </c>
    </row>
    <row r="59" s="20" customFormat="1" customHeight="1" spans="1:17">
      <c r="A59" s="19">
        <v>58</v>
      </c>
      <c r="B59" s="21" t="s">
        <v>89</v>
      </c>
      <c r="C59" s="31">
        <f>SUBTOTAL(103,$B$1:B59)-1</f>
        <v>58</v>
      </c>
      <c r="D59" s="21" t="s">
        <v>43</v>
      </c>
      <c r="E59" s="21" t="s">
        <v>18</v>
      </c>
      <c r="F59" s="26" t="s">
        <v>90</v>
      </c>
      <c r="G59" s="26" t="s">
        <v>20</v>
      </c>
      <c r="H59" s="21" t="s">
        <v>21</v>
      </c>
      <c r="I59" s="21"/>
      <c r="J59" s="21"/>
      <c r="K59" s="26"/>
      <c r="L59" s="26"/>
      <c r="M59" s="22" t="s">
        <v>139</v>
      </c>
      <c r="N59" s="23"/>
      <c r="O59" s="23"/>
      <c r="P59" s="23" t="s">
        <v>40</v>
      </c>
      <c r="Q59" s="24" t="s">
        <v>140</v>
      </c>
    </row>
    <row r="60" s="20" customFormat="1" customHeight="1" spans="1:17">
      <c r="A60" s="19">
        <v>59</v>
      </c>
      <c r="B60" s="21" t="s">
        <v>89</v>
      </c>
      <c r="C60" s="31">
        <f>SUBTOTAL(103,$B$1:B60)-1</f>
        <v>59</v>
      </c>
      <c r="D60" s="21" t="s">
        <v>50</v>
      </c>
      <c r="E60" s="21" t="s">
        <v>18</v>
      </c>
      <c r="F60" s="26" t="s">
        <v>90</v>
      </c>
      <c r="G60" s="26" t="s">
        <v>20</v>
      </c>
      <c r="H60" s="21" t="s">
        <v>21</v>
      </c>
      <c r="I60" s="21"/>
      <c r="J60" s="21"/>
      <c r="K60" s="26"/>
      <c r="L60" s="26"/>
      <c r="M60" s="22" t="s">
        <v>141</v>
      </c>
      <c r="N60" s="23"/>
      <c r="O60" s="23"/>
      <c r="P60" s="23" t="s">
        <v>40</v>
      </c>
      <c r="Q60" s="24" t="s">
        <v>142</v>
      </c>
    </row>
    <row r="61" s="20" customFormat="1" customHeight="1" spans="1:17">
      <c r="A61" s="19">
        <v>60</v>
      </c>
      <c r="B61" s="21" t="s">
        <v>89</v>
      </c>
      <c r="C61" s="31">
        <f>SUBTOTAL(103,$B$1:B61)-1</f>
        <v>60</v>
      </c>
      <c r="D61" s="26" t="s">
        <v>50</v>
      </c>
      <c r="E61" s="26" t="s">
        <v>18</v>
      </c>
      <c r="F61" s="21" t="s">
        <v>90</v>
      </c>
      <c r="G61" s="21" t="s">
        <v>114</v>
      </c>
      <c r="H61" s="21" t="s">
        <v>45</v>
      </c>
      <c r="I61" s="21"/>
      <c r="J61" s="21"/>
      <c r="K61" s="21" t="s">
        <v>143</v>
      </c>
      <c r="L61" s="21"/>
      <c r="M61" s="22" t="s">
        <v>144</v>
      </c>
      <c r="N61" s="22"/>
      <c r="O61" s="22"/>
      <c r="P61" s="23" t="s">
        <v>40</v>
      </c>
      <c r="Q61" s="38" t="s">
        <v>142</v>
      </c>
    </row>
    <row r="62" s="20" customFormat="1" customHeight="1" spans="1:17">
      <c r="A62" s="19">
        <v>61</v>
      </c>
      <c r="B62" s="21" t="s">
        <v>89</v>
      </c>
      <c r="C62" s="31">
        <f>SUBTOTAL(103,$B$1:B62)-1</f>
        <v>61</v>
      </c>
      <c r="D62" s="21" t="s">
        <v>50</v>
      </c>
      <c r="E62" s="26" t="s">
        <v>18</v>
      </c>
      <c r="F62" s="26" t="s">
        <v>90</v>
      </c>
      <c r="G62" s="21" t="s">
        <v>114</v>
      </c>
      <c r="H62" s="21" t="s">
        <v>45</v>
      </c>
      <c r="I62" s="21"/>
      <c r="J62" s="21"/>
      <c r="K62" s="21" t="s">
        <v>143</v>
      </c>
      <c r="L62" s="21"/>
      <c r="M62" s="22" t="s">
        <v>145</v>
      </c>
      <c r="N62" s="22"/>
      <c r="O62" s="22"/>
      <c r="P62" s="23" t="s">
        <v>40</v>
      </c>
      <c r="Q62" s="38" t="s">
        <v>142</v>
      </c>
    </row>
    <row r="63" s="20" customFormat="1" customHeight="1" spans="1:17">
      <c r="A63" s="19">
        <v>62</v>
      </c>
      <c r="B63" s="21" t="s">
        <v>89</v>
      </c>
      <c r="C63" s="31">
        <f>SUBTOTAL(103,$B$1:B63)-1</f>
        <v>62</v>
      </c>
      <c r="D63" s="21" t="s">
        <v>50</v>
      </c>
      <c r="E63" s="21" t="s">
        <v>18</v>
      </c>
      <c r="F63" s="21" t="s">
        <v>90</v>
      </c>
      <c r="G63" s="21" t="s">
        <v>146</v>
      </c>
      <c r="H63" s="21" t="s">
        <v>21</v>
      </c>
      <c r="I63" s="23"/>
      <c r="J63" s="23"/>
      <c r="K63" s="23" t="s">
        <v>117</v>
      </c>
      <c r="L63" s="23"/>
      <c r="M63" s="22" t="s">
        <v>147</v>
      </c>
      <c r="N63" s="23"/>
      <c r="O63" s="23"/>
      <c r="P63" s="23" t="s">
        <v>52</v>
      </c>
      <c r="Q63" s="24" t="s">
        <v>148</v>
      </c>
    </row>
    <row r="64" s="20" customFormat="1" customHeight="1" spans="1:17">
      <c r="A64" s="19">
        <v>63</v>
      </c>
      <c r="B64" s="21" t="s">
        <v>89</v>
      </c>
      <c r="C64" s="31">
        <f>SUBTOTAL(103,$B$1:B64)-1</f>
        <v>63</v>
      </c>
      <c r="D64" s="21" t="s">
        <v>149</v>
      </c>
      <c r="E64" s="21" t="s">
        <v>18</v>
      </c>
      <c r="F64" s="26" t="s">
        <v>90</v>
      </c>
      <c r="G64" s="26" t="s">
        <v>20</v>
      </c>
      <c r="H64" s="21" t="s">
        <v>21</v>
      </c>
      <c r="I64" s="21"/>
      <c r="J64" s="21"/>
      <c r="K64" s="26"/>
      <c r="L64" s="26"/>
      <c r="M64" s="22" t="s">
        <v>150</v>
      </c>
      <c r="N64" s="23"/>
      <c r="O64" s="23"/>
      <c r="P64" s="23" t="s">
        <v>52</v>
      </c>
      <c r="Q64" s="24" t="s">
        <v>151</v>
      </c>
    </row>
    <row r="65" s="20" customFormat="1" customHeight="1" spans="1:17">
      <c r="A65" s="19">
        <v>64</v>
      </c>
      <c r="B65" s="21" t="s">
        <v>89</v>
      </c>
      <c r="C65" s="31">
        <f>SUBTOTAL(103,$B$1:B65)-1</f>
        <v>64</v>
      </c>
      <c r="D65" s="21" t="s">
        <v>149</v>
      </c>
      <c r="E65" s="21" t="s">
        <v>18</v>
      </c>
      <c r="F65" s="26" t="s">
        <v>90</v>
      </c>
      <c r="G65" s="26" t="s">
        <v>20</v>
      </c>
      <c r="H65" s="21" t="s">
        <v>21</v>
      </c>
      <c r="I65" s="21"/>
      <c r="J65" s="21"/>
      <c r="K65" s="26"/>
      <c r="L65" s="26"/>
      <c r="M65" s="22" t="s">
        <v>152</v>
      </c>
      <c r="N65" s="23"/>
      <c r="O65" s="23"/>
      <c r="P65" s="23" t="s">
        <v>52</v>
      </c>
      <c r="Q65" s="24" t="s">
        <v>151</v>
      </c>
    </row>
    <row r="66" s="20" customFormat="1" customHeight="1" spans="1:17">
      <c r="A66" s="19">
        <v>65</v>
      </c>
      <c r="B66" s="21" t="s">
        <v>89</v>
      </c>
      <c r="C66" s="31">
        <f>SUBTOTAL(103,$B$1:B66)-1</f>
        <v>65</v>
      </c>
      <c r="D66" s="21" t="s">
        <v>149</v>
      </c>
      <c r="E66" s="26" t="s">
        <v>18</v>
      </c>
      <c r="F66" s="21" t="s">
        <v>90</v>
      </c>
      <c r="G66" s="26" t="s">
        <v>20</v>
      </c>
      <c r="H66" s="21" t="s">
        <v>21</v>
      </c>
      <c r="I66" s="21"/>
      <c r="J66" s="21"/>
      <c r="K66" s="26"/>
      <c r="L66" s="26"/>
      <c r="M66" s="22" t="s">
        <v>153</v>
      </c>
      <c r="N66" s="22"/>
      <c r="O66" s="22"/>
      <c r="P66" s="23" t="s">
        <v>52</v>
      </c>
      <c r="Q66" s="24" t="s">
        <v>151</v>
      </c>
    </row>
    <row r="67" s="20" customFormat="1" customHeight="1" spans="1:17">
      <c r="A67" s="19">
        <v>66</v>
      </c>
      <c r="B67" s="21" t="s">
        <v>89</v>
      </c>
      <c r="C67" s="31">
        <f>SUBTOTAL(103,$B$1:B67)-1</f>
        <v>66</v>
      </c>
      <c r="D67" s="26" t="s">
        <v>149</v>
      </c>
      <c r="E67" s="26" t="s">
        <v>18</v>
      </c>
      <c r="F67" s="21" t="s">
        <v>90</v>
      </c>
      <c r="G67" s="26" t="s">
        <v>20</v>
      </c>
      <c r="H67" s="21" t="s">
        <v>21</v>
      </c>
      <c r="I67" s="21"/>
      <c r="J67" s="21"/>
      <c r="K67" s="26"/>
      <c r="L67" s="26"/>
      <c r="M67" s="22" t="s">
        <v>154</v>
      </c>
      <c r="N67" s="22"/>
      <c r="O67" s="22"/>
      <c r="P67" s="23" t="s">
        <v>52</v>
      </c>
      <c r="Q67" s="38" t="s">
        <v>155</v>
      </c>
    </row>
    <row r="68" s="20" customFormat="1" customHeight="1" spans="1:17">
      <c r="A68" s="19">
        <v>67</v>
      </c>
      <c r="B68" s="21" t="s">
        <v>89</v>
      </c>
      <c r="C68" s="31">
        <f>SUBTOTAL(103,$B$1:B68)-1</f>
        <v>67</v>
      </c>
      <c r="D68" s="21" t="s">
        <v>149</v>
      </c>
      <c r="E68" s="26" t="s">
        <v>18</v>
      </c>
      <c r="F68" s="21" t="s">
        <v>90</v>
      </c>
      <c r="G68" s="21" t="s">
        <v>114</v>
      </c>
      <c r="H68" s="21" t="s">
        <v>45</v>
      </c>
      <c r="I68" s="21"/>
      <c r="J68" s="21"/>
      <c r="K68" s="21" t="s">
        <v>117</v>
      </c>
      <c r="L68" s="21"/>
      <c r="M68" s="22" t="s">
        <v>156</v>
      </c>
      <c r="N68" s="23"/>
      <c r="O68" s="23"/>
      <c r="P68" s="23" t="s">
        <v>52</v>
      </c>
      <c r="Q68" s="38" t="s">
        <v>155</v>
      </c>
    </row>
    <row r="69" s="20" customFormat="1" customHeight="1" spans="1:17">
      <c r="A69" s="19">
        <v>68</v>
      </c>
      <c r="B69" s="21" t="s">
        <v>89</v>
      </c>
      <c r="C69" s="31">
        <f>SUBTOTAL(103,$B$1:B69)-1</f>
        <v>68</v>
      </c>
      <c r="D69" s="21" t="s">
        <v>149</v>
      </c>
      <c r="E69" s="26" t="s">
        <v>18</v>
      </c>
      <c r="F69" s="26" t="s">
        <v>90</v>
      </c>
      <c r="G69" s="21" t="s">
        <v>157</v>
      </c>
      <c r="H69" s="21" t="s">
        <v>21</v>
      </c>
      <c r="I69" s="21"/>
      <c r="J69" s="21"/>
      <c r="K69" s="21" t="s">
        <v>117</v>
      </c>
      <c r="L69" s="21"/>
      <c r="M69" s="22" t="s">
        <v>158</v>
      </c>
      <c r="N69" s="23"/>
      <c r="O69" s="23"/>
      <c r="P69" s="23" t="s">
        <v>52</v>
      </c>
      <c r="Q69" s="24" t="s">
        <v>151</v>
      </c>
    </row>
    <row r="70" s="20" customFormat="1" customHeight="1" spans="1:17">
      <c r="A70" s="19">
        <v>69</v>
      </c>
      <c r="B70" s="21" t="s">
        <v>89</v>
      </c>
      <c r="C70" s="31">
        <f>SUBTOTAL(103,$B$1:B70)-1</f>
        <v>69</v>
      </c>
      <c r="D70" s="21" t="s">
        <v>62</v>
      </c>
      <c r="E70" s="21" t="s">
        <v>18</v>
      </c>
      <c r="F70" s="26" t="s">
        <v>90</v>
      </c>
      <c r="G70" s="26" t="s">
        <v>20</v>
      </c>
      <c r="H70" s="21" t="s">
        <v>21</v>
      </c>
      <c r="I70" s="21"/>
      <c r="J70" s="21"/>
      <c r="K70" s="26"/>
      <c r="L70" s="26"/>
      <c r="M70" s="22" t="s">
        <v>159</v>
      </c>
      <c r="N70" s="23"/>
      <c r="O70" s="23"/>
      <c r="P70" s="23" t="s">
        <v>40</v>
      </c>
      <c r="Q70" s="24" t="s">
        <v>67</v>
      </c>
    </row>
    <row r="71" s="20" customFormat="1" customHeight="1" spans="1:17">
      <c r="A71" s="19">
        <v>70</v>
      </c>
      <c r="B71" s="21" t="s">
        <v>89</v>
      </c>
      <c r="C71" s="31">
        <f>SUBTOTAL(103,$B$1:B71)-1</f>
        <v>70</v>
      </c>
      <c r="D71" s="21" t="s">
        <v>62</v>
      </c>
      <c r="E71" s="21" t="s">
        <v>18</v>
      </c>
      <c r="F71" s="26" t="s">
        <v>90</v>
      </c>
      <c r="G71" s="26" t="s">
        <v>20</v>
      </c>
      <c r="H71" s="21" t="s">
        <v>21</v>
      </c>
      <c r="I71" s="21"/>
      <c r="J71" s="21"/>
      <c r="K71" s="26"/>
      <c r="L71" s="26"/>
      <c r="M71" s="22" t="s">
        <v>160</v>
      </c>
      <c r="N71" s="23"/>
      <c r="O71" s="23"/>
      <c r="P71" s="23" t="s">
        <v>40</v>
      </c>
      <c r="Q71" s="24" t="s">
        <v>67</v>
      </c>
    </row>
    <row r="72" s="20" customFormat="1" customHeight="1" spans="1:17">
      <c r="A72" s="19">
        <v>71</v>
      </c>
      <c r="B72" s="21" t="s">
        <v>89</v>
      </c>
      <c r="C72" s="31">
        <f>SUBTOTAL(103,$B$1:B72)-1</f>
        <v>71</v>
      </c>
      <c r="D72" s="21" t="s">
        <v>71</v>
      </c>
      <c r="E72" s="21" t="s">
        <v>18</v>
      </c>
      <c r="F72" s="26" t="s">
        <v>90</v>
      </c>
      <c r="G72" s="21" t="s">
        <v>114</v>
      </c>
      <c r="H72" s="21" t="s">
        <v>45</v>
      </c>
      <c r="I72" s="21"/>
      <c r="J72" s="21"/>
      <c r="K72" s="21" t="s">
        <v>69</v>
      </c>
      <c r="L72" s="21"/>
      <c r="M72" s="22" t="s">
        <v>161</v>
      </c>
      <c r="N72" s="23"/>
      <c r="O72" s="23"/>
      <c r="P72" s="23" t="s">
        <v>52</v>
      </c>
      <c r="Q72" s="24" t="s">
        <v>142</v>
      </c>
    </row>
    <row r="73" s="20" customFormat="1" customHeight="1" spans="1:17">
      <c r="A73" s="19">
        <v>72</v>
      </c>
      <c r="B73" s="21" t="s">
        <v>89</v>
      </c>
      <c r="C73" s="31">
        <f>SUBTOTAL(103,$B$1:B73)-1</f>
        <v>72</v>
      </c>
      <c r="D73" s="21" t="s">
        <v>71</v>
      </c>
      <c r="E73" s="21" t="s">
        <v>18</v>
      </c>
      <c r="F73" s="26" t="s">
        <v>90</v>
      </c>
      <c r="G73" s="26" t="s">
        <v>20</v>
      </c>
      <c r="H73" s="21" t="s">
        <v>21</v>
      </c>
      <c r="I73" s="21"/>
      <c r="J73" s="21"/>
      <c r="K73" s="26" t="s">
        <v>162</v>
      </c>
      <c r="L73" s="26"/>
      <c r="M73" s="22" t="s">
        <v>163</v>
      </c>
      <c r="N73" s="23"/>
      <c r="O73" s="23"/>
      <c r="P73" s="23" t="s">
        <v>52</v>
      </c>
      <c r="Q73" s="24" t="s">
        <v>164</v>
      </c>
    </row>
    <row r="74" s="20" customFormat="1" customHeight="1" spans="1:17">
      <c r="A74" s="19">
        <v>73</v>
      </c>
      <c r="B74" s="21" t="s">
        <v>89</v>
      </c>
      <c r="C74" s="31">
        <f>SUBTOTAL(103,$B$1:B74)-1</f>
        <v>73</v>
      </c>
      <c r="D74" s="21" t="s">
        <v>71</v>
      </c>
      <c r="E74" s="26" t="s">
        <v>18</v>
      </c>
      <c r="F74" s="21" t="s">
        <v>90</v>
      </c>
      <c r="G74" s="26" t="s">
        <v>20</v>
      </c>
      <c r="H74" s="21" t="s">
        <v>21</v>
      </c>
      <c r="I74" s="19"/>
      <c r="J74" s="19"/>
      <c r="K74" s="26"/>
      <c r="L74" s="26"/>
      <c r="M74" s="22" t="s">
        <v>165</v>
      </c>
      <c r="N74" s="23"/>
      <c r="O74" s="23"/>
      <c r="P74" s="23" t="s">
        <v>52</v>
      </c>
      <c r="Q74" s="24" t="s">
        <v>164</v>
      </c>
    </row>
    <row r="75" s="20" customFormat="1" customHeight="1" spans="1:17">
      <c r="A75" s="19">
        <v>74</v>
      </c>
      <c r="B75" s="21" t="s">
        <v>89</v>
      </c>
      <c r="C75" s="31">
        <f>SUBTOTAL(103,$B$1:B75)-1</f>
        <v>74</v>
      </c>
      <c r="D75" s="21" t="s">
        <v>77</v>
      </c>
      <c r="E75" s="21" t="s">
        <v>18</v>
      </c>
      <c r="F75" s="26" t="s">
        <v>90</v>
      </c>
      <c r="G75" s="26" t="s">
        <v>20</v>
      </c>
      <c r="H75" s="21" t="s">
        <v>21</v>
      </c>
      <c r="I75" s="21"/>
      <c r="J75" s="21"/>
      <c r="K75" s="26" t="s">
        <v>69</v>
      </c>
      <c r="L75" s="26"/>
      <c r="M75" s="22" t="s">
        <v>166</v>
      </c>
      <c r="N75" s="23"/>
      <c r="O75" s="23"/>
      <c r="P75" s="23" t="s">
        <v>84</v>
      </c>
      <c r="Q75" s="24" t="s">
        <v>167</v>
      </c>
    </row>
    <row r="76" s="20" customFormat="1" customHeight="1" spans="1:17">
      <c r="A76" s="19">
        <v>75</v>
      </c>
      <c r="B76" s="21" t="s">
        <v>89</v>
      </c>
      <c r="C76" s="31">
        <f>SUBTOTAL(103,$B$1:B76)-1</f>
        <v>75</v>
      </c>
      <c r="D76" s="26" t="s">
        <v>77</v>
      </c>
      <c r="E76" s="21" t="s">
        <v>18</v>
      </c>
      <c r="F76" s="26" t="s">
        <v>90</v>
      </c>
      <c r="G76" s="26" t="s">
        <v>20</v>
      </c>
      <c r="H76" s="21"/>
      <c r="I76" s="21"/>
      <c r="J76" s="21"/>
      <c r="K76" s="26" t="s">
        <v>69</v>
      </c>
      <c r="L76" s="26"/>
      <c r="M76" s="22" t="s">
        <v>168</v>
      </c>
      <c r="N76" s="23"/>
      <c r="O76" s="23"/>
      <c r="P76" s="23"/>
      <c r="Q76" s="24" t="s">
        <v>169</v>
      </c>
    </row>
    <row r="77" s="20" customFormat="1" customHeight="1" spans="1:17">
      <c r="A77" s="19">
        <v>76</v>
      </c>
      <c r="B77" s="21" t="s">
        <v>89</v>
      </c>
      <c r="C77" s="31">
        <f>SUBTOTAL(103,$B$1:B77)-1</f>
        <v>76</v>
      </c>
      <c r="D77" s="21" t="s">
        <v>77</v>
      </c>
      <c r="E77" s="21" t="s">
        <v>18</v>
      </c>
      <c r="F77" s="21" t="s">
        <v>90</v>
      </c>
      <c r="G77" s="26" t="s">
        <v>20</v>
      </c>
      <c r="H77" s="21" t="s">
        <v>21</v>
      </c>
      <c r="I77" s="23"/>
      <c r="J77" s="23"/>
      <c r="K77" s="26" t="s">
        <v>22</v>
      </c>
      <c r="L77" s="26"/>
      <c r="M77" s="22" t="s">
        <v>170</v>
      </c>
      <c r="N77" s="43"/>
      <c r="O77" s="43"/>
      <c r="P77" s="23" t="s">
        <v>24</v>
      </c>
      <c r="Q77" s="36" t="s">
        <v>171</v>
      </c>
    </row>
    <row r="78" s="20" customFormat="1" customHeight="1" spans="1:17">
      <c r="A78" s="19">
        <v>77</v>
      </c>
      <c r="B78" s="21" t="s">
        <v>89</v>
      </c>
      <c r="C78" s="31">
        <f>SUBTOTAL(103,$B$1:B78)-1</f>
        <v>77</v>
      </c>
      <c r="D78" s="21" t="s">
        <v>77</v>
      </c>
      <c r="E78" s="21" t="s">
        <v>18</v>
      </c>
      <c r="F78" s="21" t="s">
        <v>90</v>
      </c>
      <c r="G78" s="26" t="s">
        <v>20</v>
      </c>
      <c r="H78" s="21" t="s">
        <v>21</v>
      </c>
      <c r="I78" s="23"/>
      <c r="J78" s="23"/>
      <c r="K78" s="26" t="s">
        <v>22</v>
      </c>
      <c r="L78" s="26"/>
      <c r="M78" s="22" t="s">
        <v>172</v>
      </c>
      <c r="N78" s="22"/>
      <c r="O78" s="22"/>
      <c r="P78" s="23" t="s">
        <v>84</v>
      </c>
      <c r="Q78" s="38" t="s">
        <v>173</v>
      </c>
    </row>
    <row r="79" s="20" customFormat="1" customHeight="1" spans="1:17">
      <c r="A79" s="19">
        <v>78</v>
      </c>
      <c r="B79" s="21" t="s">
        <v>89</v>
      </c>
      <c r="C79" s="31">
        <f>SUBTOTAL(103,$B$1:B79)-1</f>
        <v>78</v>
      </c>
      <c r="D79" s="21" t="s">
        <v>77</v>
      </c>
      <c r="E79" s="21" t="s">
        <v>18</v>
      </c>
      <c r="F79" s="21" t="s">
        <v>90</v>
      </c>
      <c r="G79" s="26" t="s">
        <v>20</v>
      </c>
      <c r="H79" s="21" t="s">
        <v>21</v>
      </c>
      <c r="I79" s="23"/>
      <c r="J79" s="23"/>
      <c r="K79" s="26" t="s">
        <v>31</v>
      </c>
      <c r="L79" s="26"/>
      <c r="M79" s="22" t="s">
        <v>174</v>
      </c>
      <c r="N79" s="23"/>
      <c r="O79" s="23"/>
      <c r="P79" s="23" t="s">
        <v>84</v>
      </c>
      <c r="Q79" s="37" t="s">
        <v>175</v>
      </c>
    </row>
    <row r="80" s="20" customFormat="1" customHeight="1" spans="1:17">
      <c r="A80" s="19">
        <v>79</v>
      </c>
      <c r="B80" s="21" t="s">
        <v>89</v>
      </c>
      <c r="C80" s="31">
        <f>SUBTOTAL(103,$B$1:B80)-1</f>
        <v>79</v>
      </c>
      <c r="D80" s="35" t="s">
        <v>77</v>
      </c>
      <c r="E80" s="35" t="s">
        <v>18</v>
      </c>
      <c r="F80" s="21" t="s">
        <v>90</v>
      </c>
      <c r="G80" s="26" t="s">
        <v>20</v>
      </c>
      <c r="H80" s="21" t="s">
        <v>21</v>
      </c>
      <c r="I80" s="23"/>
      <c r="J80" s="23"/>
      <c r="K80" s="26" t="s">
        <v>31</v>
      </c>
      <c r="L80" s="26"/>
      <c r="M80" s="22" t="s">
        <v>176</v>
      </c>
      <c r="N80" s="23"/>
      <c r="O80" s="23"/>
      <c r="P80" s="23" t="s">
        <v>84</v>
      </c>
      <c r="Q80" s="37" t="s">
        <v>167</v>
      </c>
    </row>
    <row r="81" s="20" customFormat="1" customHeight="1" spans="1:17">
      <c r="A81" s="19">
        <v>80</v>
      </c>
      <c r="B81" s="21" t="s">
        <v>89</v>
      </c>
      <c r="C81" s="31">
        <f>SUBTOTAL(103,$B$1:B81)-1</f>
        <v>80</v>
      </c>
      <c r="D81" s="21" t="s">
        <v>77</v>
      </c>
      <c r="E81" s="21" t="s">
        <v>18</v>
      </c>
      <c r="F81" s="21" t="s">
        <v>90</v>
      </c>
      <c r="G81" s="21" t="s">
        <v>114</v>
      </c>
      <c r="H81" s="21" t="s">
        <v>45</v>
      </c>
      <c r="I81" s="21"/>
      <c r="J81" s="21"/>
      <c r="K81" s="21" t="s">
        <v>115</v>
      </c>
      <c r="L81" s="21"/>
      <c r="M81" s="22" t="s">
        <v>177</v>
      </c>
      <c r="N81" s="23"/>
      <c r="O81" s="23"/>
      <c r="P81" s="23" t="s">
        <v>84</v>
      </c>
      <c r="Q81" s="24" t="s">
        <v>169</v>
      </c>
    </row>
    <row r="82" s="20" customFormat="1" customHeight="1" spans="1:17">
      <c r="A82" s="19">
        <v>81</v>
      </c>
      <c r="B82" s="21" t="s">
        <v>89</v>
      </c>
      <c r="C82" s="31">
        <f>SUBTOTAL(103,$B$1:B82)-1</f>
        <v>81</v>
      </c>
      <c r="D82" s="21" t="s">
        <v>77</v>
      </c>
      <c r="E82" s="21" t="s">
        <v>18</v>
      </c>
      <c r="F82" s="21" t="s">
        <v>90</v>
      </c>
      <c r="G82" s="21" t="s">
        <v>114</v>
      </c>
      <c r="H82" s="21" t="s">
        <v>45</v>
      </c>
      <c r="I82" s="21"/>
      <c r="J82" s="21"/>
      <c r="K82" s="21" t="s">
        <v>115</v>
      </c>
      <c r="L82" s="21"/>
      <c r="M82" s="22" t="s">
        <v>178</v>
      </c>
      <c r="N82" s="23"/>
      <c r="O82" s="23"/>
      <c r="P82" s="23" t="s">
        <v>84</v>
      </c>
      <c r="Q82" s="24" t="s">
        <v>169</v>
      </c>
    </row>
    <row r="83" s="20" customFormat="1" customHeight="1" spans="1:17">
      <c r="A83" s="19">
        <v>82</v>
      </c>
      <c r="B83" s="21" t="s">
        <v>179</v>
      </c>
      <c r="C83" s="31">
        <f>SUBTOTAL(103,$B$1:B83)-1</f>
        <v>82</v>
      </c>
      <c r="D83" s="21" t="s">
        <v>17</v>
      </c>
      <c r="E83" s="21" t="s">
        <v>18</v>
      </c>
      <c r="F83" s="21" t="s">
        <v>180</v>
      </c>
      <c r="G83" s="26" t="s">
        <v>20</v>
      </c>
      <c r="H83" s="21"/>
      <c r="I83" s="26" t="s">
        <v>26</v>
      </c>
      <c r="J83" s="21"/>
      <c r="K83" s="26" t="s">
        <v>162</v>
      </c>
      <c r="L83" s="26"/>
      <c r="M83" s="22" t="s">
        <v>181</v>
      </c>
      <c r="N83" s="33"/>
      <c r="O83" s="33"/>
      <c r="P83" s="23"/>
      <c r="Q83" s="24"/>
    </row>
    <row r="84" s="20" customFormat="1" customHeight="1" spans="1:17">
      <c r="A84" s="19">
        <v>83</v>
      </c>
      <c r="B84" s="21" t="s">
        <v>179</v>
      </c>
      <c r="C84" s="31">
        <f>SUBTOTAL(103,$B$1:B84)-1</f>
        <v>83</v>
      </c>
      <c r="D84" s="21" t="s">
        <v>17</v>
      </c>
      <c r="E84" s="21" t="s">
        <v>18</v>
      </c>
      <c r="F84" s="21" t="s">
        <v>180</v>
      </c>
      <c r="G84" s="26" t="s">
        <v>20</v>
      </c>
      <c r="H84" s="21"/>
      <c r="I84" s="26" t="s">
        <v>33</v>
      </c>
      <c r="J84" s="21"/>
      <c r="K84" s="26" t="s">
        <v>97</v>
      </c>
      <c r="L84" s="26"/>
      <c r="M84" s="22" t="s">
        <v>182</v>
      </c>
      <c r="N84" s="33"/>
      <c r="O84" s="33"/>
      <c r="P84" s="23"/>
      <c r="Q84" s="24"/>
    </row>
    <row r="85" s="20" customFormat="1" customHeight="1" spans="1:17">
      <c r="A85" s="19">
        <v>84</v>
      </c>
      <c r="B85" s="21" t="s">
        <v>179</v>
      </c>
      <c r="C85" s="31">
        <f>SUBTOTAL(103,$B$1:B85)-1</f>
        <v>84</v>
      </c>
      <c r="D85" s="21" t="s">
        <v>17</v>
      </c>
      <c r="E85" s="21" t="s">
        <v>18</v>
      </c>
      <c r="F85" s="21" t="s">
        <v>180</v>
      </c>
      <c r="G85" s="26" t="s">
        <v>20</v>
      </c>
      <c r="H85" s="21"/>
      <c r="I85" s="26" t="s">
        <v>33</v>
      </c>
      <c r="J85" s="21"/>
      <c r="K85" s="26" t="s">
        <v>31</v>
      </c>
      <c r="L85" s="26"/>
      <c r="M85" s="22" t="s">
        <v>183</v>
      </c>
      <c r="N85" s="33"/>
      <c r="O85" s="33"/>
      <c r="P85" s="23"/>
      <c r="Q85" s="24"/>
    </row>
    <row r="86" s="20" customFormat="1" customHeight="1" spans="1:17">
      <c r="A86" s="19">
        <v>85</v>
      </c>
      <c r="B86" s="21" t="s">
        <v>179</v>
      </c>
      <c r="C86" s="31">
        <f>SUBTOTAL(103,$B$1:B86)-1</f>
        <v>85</v>
      </c>
      <c r="D86" s="21" t="s">
        <v>17</v>
      </c>
      <c r="E86" s="21" t="s">
        <v>184</v>
      </c>
      <c r="F86" s="26" t="s">
        <v>180</v>
      </c>
      <c r="G86" s="26" t="s">
        <v>20</v>
      </c>
      <c r="H86" s="21"/>
      <c r="I86" s="26" t="s">
        <v>26</v>
      </c>
      <c r="J86" s="21"/>
      <c r="K86" s="26" t="s">
        <v>97</v>
      </c>
      <c r="L86" s="26"/>
      <c r="M86" s="22" t="s">
        <v>185</v>
      </c>
      <c r="N86" s="33"/>
      <c r="O86" s="33"/>
      <c r="P86" s="23" t="s">
        <v>75</v>
      </c>
      <c r="Q86" s="24" t="s">
        <v>94</v>
      </c>
    </row>
    <row r="87" s="20" customFormat="1" customHeight="1" spans="1:17">
      <c r="A87" s="19">
        <v>86</v>
      </c>
      <c r="B87" s="21" t="s">
        <v>179</v>
      </c>
      <c r="C87" s="31">
        <f>SUBTOTAL(103,$B$1:B87)-1</f>
        <v>86</v>
      </c>
      <c r="D87" s="21" t="s">
        <v>17</v>
      </c>
      <c r="E87" s="21" t="s">
        <v>184</v>
      </c>
      <c r="F87" s="26" t="s">
        <v>180</v>
      </c>
      <c r="G87" s="26" t="s">
        <v>20</v>
      </c>
      <c r="H87" s="21"/>
      <c r="I87" s="26" t="s">
        <v>26</v>
      </c>
      <c r="J87" s="21"/>
      <c r="K87" s="26" t="s">
        <v>97</v>
      </c>
      <c r="L87" s="26"/>
      <c r="M87" s="22" t="s">
        <v>186</v>
      </c>
      <c r="N87" s="33"/>
      <c r="O87" s="33"/>
      <c r="P87" s="23" t="s">
        <v>75</v>
      </c>
      <c r="Q87" s="24" t="s">
        <v>94</v>
      </c>
    </row>
    <row r="88" s="20" customFormat="1" customHeight="1" spans="1:17">
      <c r="A88" s="19">
        <v>87</v>
      </c>
      <c r="B88" s="21" t="s">
        <v>179</v>
      </c>
      <c r="C88" s="31">
        <f>SUBTOTAL(103,$B$1:B88)-1</f>
        <v>87</v>
      </c>
      <c r="D88" s="21" t="s">
        <v>17</v>
      </c>
      <c r="E88" s="21" t="s">
        <v>184</v>
      </c>
      <c r="F88" s="26" t="s">
        <v>180</v>
      </c>
      <c r="G88" s="21" t="s">
        <v>146</v>
      </c>
      <c r="H88" s="21" t="s">
        <v>187</v>
      </c>
      <c r="I88" s="21"/>
      <c r="J88" s="21"/>
      <c r="K88" s="21" t="s">
        <v>117</v>
      </c>
      <c r="L88" s="21"/>
      <c r="M88" s="22" t="s">
        <v>188</v>
      </c>
      <c r="N88" s="23"/>
      <c r="O88" s="23"/>
      <c r="P88" s="23" t="s">
        <v>24</v>
      </c>
      <c r="Q88" s="24" t="s">
        <v>171</v>
      </c>
    </row>
    <row r="89" s="20" customFormat="1" customHeight="1" spans="1:17">
      <c r="A89" s="19">
        <v>88</v>
      </c>
      <c r="B89" s="21" t="s">
        <v>179</v>
      </c>
      <c r="C89" s="31">
        <f>SUBTOTAL(103,$B$1:B89)-1</f>
        <v>88</v>
      </c>
      <c r="D89" s="21" t="s">
        <v>17</v>
      </c>
      <c r="E89" s="21" t="s">
        <v>184</v>
      </c>
      <c r="F89" s="26" t="s">
        <v>180</v>
      </c>
      <c r="G89" s="21" t="s">
        <v>146</v>
      </c>
      <c r="H89" s="21" t="s">
        <v>187</v>
      </c>
      <c r="I89" s="21"/>
      <c r="J89" s="21"/>
      <c r="K89" s="21" t="s">
        <v>117</v>
      </c>
      <c r="L89" s="21"/>
      <c r="M89" s="22" t="s">
        <v>189</v>
      </c>
      <c r="N89" s="23"/>
      <c r="O89" s="23"/>
      <c r="P89" s="23" t="s">
        <v>24</v>
      </c>
      <c r="Q89" s="24" t="s">
        <v>171</v>
      </c>
    </row>
    <row r="90" s="20" customFormat="1" customHeight="1" spans="1:17">
      <c r="A90" s="19">
        <v>89</v>
      </c>
      <c r="B90" s="21" t="s">
        <v>179</v>
      </c>
      <c r="C90" s="31">
        <f>SUBTOTAL(103,$B$1:B90)-1</f>
        <v>89</v>
      </c>
      <c r="D90" s="21" t="s">
        <v>17</v>
      </c>
      <c r="E90" s="21" t="s">
        <v>184</v>
      </c>
      <c r="F90" s="21" t="s">
        <v>180</v>
      </c>
      <c r="G90" s="26" t="s">
        <v>20</v>
      </c>
      <c r="H90" s="21"/>
      <c r="I90" s="21"/>
      <c r="J90" s="21"/>
      <c r="K90" s="26" t="s">
        <v>105</v>
      </c>
      <c r="L90" s="26"/>
      <c r="M90" s="22" t="s">
        <v>190</v>
      </c>
      <c r="N90" s="23"/>
      <c r="O90" s="23"/>
      <c r="P90" s="23" t="s">
        <v>24</v>
      </c>
      <c r="Q90" s="24" t="s">
        <v>191</v>
      </c>
    </row>
    <row r="91" s="20" customFormat="1" customHeight="1" spans="1:17">
      <c r="A91" s="19">
        <v>90</v>
      </c>
      <c r="B91" s="21" t="s">
        <v>179</v>
      </c>
      <c r="C91" s="31">
        <f>SUBTOTAL(103,$B$1:B91)-1</f>
        <v>90</v>
      </c>
      <c r="D91" s="21" t="s">
        <v>38</v>
      </c>
      <c r="E91" s="21" t="s">
        <v>184</v>
      </c>
      <c r="F91" s="26" t="s">
        <v>180</v>
      </c>
      <c r="G91" s="21" t="s">
        <v>146</v>
      </c>
      <c r="H91" s="21" t="s">
        <v>187</v>
      </c>
      <c r="I91" s="21"/>
      <c r="J91" s="21"/>
      <c r="K91" s="21" t="s">
        <v>115</v>
      </c>
      <c r="L91" s="21"/>
      <c r="M91" s="22" t="s">
        <v>192</v>
      </c>
      <c r="N91" s="23"/>
      <c r="O91" s="23"/>
      <c r="P91" s="23" t="s">
        <v>52</v>
      </c>
      <c r="Q91" s="24" t="s">
        <v>120</v>
      </c>
    </row>
    <row r="92" s="20" customFormat="1" customHeight="1" spans="1:17">
      <c r="A92" s="19">
        <v>91</v>
      </c>
      <c r="B92" s="21" t="s">
        <v>179</v>
      </c>
      <c r="C92" s="31">
        <f>SUBTOTAL(103,$B$1:B92)-1</f>
        <v>91</v>
      </c>
      <c r="D92" s="21" t="s">
        <v>38</v>
      </c>
      <c r="E92" s="21" t="s">
        <v>184</v>
      </c>
      <c r="F92" s="26" t="s">
        <v>180</v>
      </c>
      <c r="G92" s="26" t="s">
        <v>20</v>
      </c>
      <c r="H92" s="21"/>
      <c r="I92" s="21"/>
      <c r="J92" s="21"/>
      <c r="K92" s="26"/>
      <c r="L92" s="26"/>
      <c r="M92" s="22" t="s">
        <v>193</v>
      </c>
      <c r="N92" s="23"/>
      <c r="O92" s="23"/>
      <c r="P92" s="23" t="s">
        <v>40</v>
      </c>
      <c r="Q92" s="24" t="s">
        <v>132</v>
      </c>
    </row>
    <row r="93" s="20" customFormat="1" customHeight="1" spans="1:17">
      <c r="A93" s="19">
        <v>92</v>
      </c>
      <c r="B93" s="21" t="s">
        <v>179</v>
      </c>
      <c r="C93" s="31">
        <f>SUBTOTAL(103,$B$1:B93)-1</f>
        <v>92</v>
      </c>
      <c r="D93" s="21" t="s">
        <v>38</v>
      </c>
      <c r="E93" s="21" t="s">
        <v>184</v>
      </c>
      <c r="F93" s="26" t="s">
        <v>180</v>
      </c>
      <c r="G93" s="21" t="s">
        <v>146</v>
      </c>
      <c r="H93" s="21" t="s">
        <v>187</v>
      </c>
      <c r="I93" s="21"/>
      <c r="J93" s="21"/>
      <c r="K93" s="21" t="s">
        <v>117</v>
      </c>
      <c r="L93" s="21"/>
      <c r="M93" s="22" t="s">
        <v>194</v>
      </c>
      <c r="N93" s="23"/>
      <c r="O93" s="23"/>
      <c r="P93" s="23" t="s">
        <v>75</v>
      </c>
      <c r="Q93" s="24" t="s">
        <v>132</v>
      </c>
    </row>
    <row r="94" s="20" customFormat="1" customHeight="1" spans="1:17">
      <c r="A94" s="19">
        <v>93</v>
      </c>
      <c r="B94" s="21" t="s">
        <v>179</v>
      </c>
      <c r="C94" s="31">
        <f>SUBTOTAL(103,$B$1:B94)-1</f>
        <v>93</v>
      </c>
      <c r="D94" s="21" t="s">
        <v>50</v>
      </c>
      <c r="E94" s="21" t="s">
        <v>195</v>
      </c>
      <c r="F94" s="26" t="s">
        <v>180</v>
      </c>
      <c r="G94" s="26" t="s">
        <v>20</v>
      </c>
      <c r="H94" s="21"/>
      <c r="I94" s="21"/>
      <c r="J94" s="21"/>
      <c r="K94" s="26"/>
      <c r="L94" s="26"/>
      <c r="M94" s="22" t="s">
        <v>196</v>
      </c>
      <c r="N94" s="23"/>
      <c r="O94" s="23"/>
      <c r="P94" s="23" t="s">
        <v>40</v>
      </c>
      <c r="Q94" s="24" t="s">
        <v>197</v>
      </c>
    </row>
    <row r="95" s="20" customFormat="1" customHeight="1" spans="1:17">
      <c r="A95" s="19">
        <v>94</v>
      </c>
      <c r="B95" s="21" t="s">
        <v>179</v>
      </c>
      <c r="C95" s="31">
        <f>SUBTOTAL(103,$B$1:B95)-1</f>
        <v>94</v>
      </c>
      <c r="D95" s="21" t="s">
        <v>50</v>
      </c>
      <c r="E95" s="21" t="s">
        <v>195</v>
      </c>
      <c r="F95" s="26" t="s">
        <v>180</v>
      </c>
      <c r="G95" s="26" t="s">
        <v>20</v>
      </c>
      <c r="H95" s="21"/>
      <c r="I95" s="21"/>
      <c r="J95" s="21"/>
      <c r="K95" s="26"/>
      <c r="L95" s="26"/>
      <c r="M95" s="22" t="s">
        <v>198</v>
      </c>
      <c r="N95" s="23"/>
      <c r="O95" s="23"/>
      <c r="P95" s="23" t="s">
        <v>40</v>
      </c>
      <c r="Q95" s="24" t="s">
        <v>197</v>
      </c>
    </row>
    <row r="96" s="20" customFormat="1" customHeight="1" spans="1:17">
      <c r="A96" s="19">
        <v>95</v>
      </c>
      <c r="B96" s="21" t="s">
        <v>179</v>
      </c>
      <c r="C96" s="31">
        <f>SUBTOTAL(103,$B$1:B96)-1</f>
        <v>95</v>
      </c>
      <c r="D96" s="21" t="s">
        <v>50</v>
      </c>
      <c r="E96" s="21" t="s">
        <v>184</v>
      </c>
      <c r="F96" s="26" t="s">
        <v>180</v>
      </c>
      <c r="G96" s="21" t="s">
        <v>146</v>
      </c>
      <c r="H96" s="21" t="s">
        <v>187</v>
      </c>
      <c r="I96" s="21"/>
      <c r="J96" s="21"/>
      <c r="K96" s="21" t="s">
        <v>117</v>
      </c>
      <c r="L96" s="21"/>
      <c r="M96" s="22" t="s">
        <v>199</v>
      </c>
      <c r="N96" s="23"/>
      <c r="O96" s="23"/>
      <c r="P96" s="23" t="s">
        <v>75</v>
      </c>
      <c r="Q96" s="24" t="s">
        <v>200</v>
      </c>
    </row>
    <row r="97" s="20" customFormat="1" customHeight="1" spans="1:17">
      <c r="A97" s="19">
        <v>96</v>
      </c>
      <c r="B97" s="21" t="s">
        <v>179</v>
      </c>
      <c r="C97" s="31">
        <f>SUBTOTAL(103,$B$1:B97)-1</f>
        <v>96</v>
      </c>
      <c r="D97" s="21" t="s">
        <v>50</v>
      </c>
      <c r="E97" s="21" t="s">
        <v>184</v>
      </c>
      <c r="F97" s="26" t="s">
        <v>180</v>
      </c>
      <c r="G97" s="21" t="s">
        <v>146</v>
      </c>
      <c r="H97" s="21" t="s">
        <v>187</v>
      </c>
      <c r="I97" s="21"/>
      <c r="J97" s="21"/>
      <c r="K97" s="21" t="s">
        <v>143</v>
      </c>
      <c r="L97" s="21"/>
      <c r="M97" s="22" t="s">
        <v>201</v>
      </c>
      <c r="N97" s="23"/>
      <c r="O97" s="23"/>
      <c r="P97" s="23" t="s">
        <v>40</v>
      </c>
      <c r="Q97" s="24" t="s">
        <v>202</v>
      </c>
    </row>
    <row r="98" s="20" customFormat="1" customHeight="1" spans="1:17">
      <c r="A98" s="19">
        <v>97</v>
      </c>
      <c r="B98" s="21" t="s">
        <v>179</v>
      </c>
      <c r="C98" s="31">
        <f>SUBTOTAL(103,$B$1:B98)-1</f>
        <v>97</v>
      </c>
      <c r="D98" s="21" t="s">
        <v>50</v>
      </c>
      <c r="E98" s="26" t="s">
        <v>195</v>
      </c>
      <c r="F98" s="26" t="s">
        <v>180</v>
      </c>
      <c r="G98" s="26" t="s">
        <v>20</v>
      </c>
      <c r="H98" s="21"/>
      <c r="I98" s="22"/>
      <c r="J98" s="22"/>
      <c r="K98" s="26"/>
      <c r="L98" s="26"/>
      <c r="M98" s="22" t="s">
        <v>203</v>
      </c>
      <c r="N98" s="23"/>
      <c r="O98" s="23"/>
      <c r="P98" s="23" t="s">
        <v>40</v>
      </c>
      <c r="Q98" s="24" t="s">
        <v>203</v>
      </c>
    </row>
    <row r="99" s="20" customFormat="1" customHeight="1" spans="1:17">
      <c r="A99" s="19">
        <v>98</v>
      </c>
      <c r="B99" s="21" t="s">
        <v>179</v>
      </c>
      <c r="C99" s="31">
        <f>SUBTOTAL(103,$B$1:B99)-1</f>
        <v>98</v>
      </c>
      <c r="D99" s="26" t="s">
        <v>50</v>
      </c>
      <c r="E99" s="21" t="s">
        <v>184</v>
      </c>
      <c r="F99" s="21" t="s">
        <v>180</v>
      </c>
      <c r="G99" s="21" t="s">
        <v>146</v>
      </c>
      <c r="H99" s="21" t="s">
        <v>187</v>
      </c>
      <c r="I99" s="23"/>
      <c r="J99" s="23"/>
      <c r="K99" s="23" t="s">
        <v>69</v>
      </c>
      <c r="L99" s="23"/>
      <c r="M99" s="22" t="s">
        <v>204</v>
      </c>
      <c r="N99" s="22"/>
      <c r="O99" s="22"/>
      <c r="P99" s="23" t="s">
        <v>52</v>
      </c>
      <c r="Q99" s="24" t="s">
        <v>202</v>
      </c>
    </row>
    <row r="100" s="20" customFormat="1" customHeight="1" spans="1:17">
      <c r="A100" s="19">
        <v>99</v>
      </c>
      <c r="B100" s="21" t="s">
        <v>179</v>
      </c>
      <c r="C100" s="31">
        <f>SUBTOTAL(103,$B$1:B100)-1</f>
        <v>99</v>
      </c>
      <c r="D100" s="26" t="s">
        <v>50</v>
      </c>
      <c r="E100" s="21" t="s">
        <v>184</v>
      </c>
      <c r="F100" s="21" t="s">
        <v>180</v>
      </c>
      <c r="G100" s="21" t="s">
        <v>146</v>
      </c>
      <c r="H100" s="21" t="s">
        <v>187</v>
      </c>
      <c r="I100" s="23"/>
      <c r="J100" s="23"/>
      <c r="K100" s="23" t="s">
        <v>205</v>
      </c>
      <c r="L100" s="23"/>
      <c r="M100" s="22" t="s">
        <v>206</v>
      </c>
      <c r="N100" s="22"/>
      <c r="O100" s="22"/>
      <c r="P100" s="23" t="s">
        <v>52</v>
      </c>
      <c r="Q100" s="24" t="s">
        <v>207</v>
      </c>
    </row>
    <row r="101" s="20" customFormat="1" customHeight="1" spans="1:17">
      <c r="A101" s="19">
        <v>100</v>
      </c>
      <c r="B101" s="21" t="s">
        <v>208</v>
      </c>
      <c r="C101" s="31">
        <f>SUBTOTAL(103,$B$1:B101)-1</f>
        <v>100</v>
      </c>
      <c r="D101" s="26" t="s">
        <v>50</v>
      </c>
      <c r="E101" s="21" t="s">
        <v>184</v>
      </c>
      <c r="F101" s="21" t="s">
        <v>209</v>
      </c>
      <c r="G101" s="26" t="s">
        <v>20</v>
      </c>
      <c r="H101" s="21" t="s">
        <v>187</v>
      </c>
      <c r="I101" s="23"/>
      <c r="J101" s="23"/>
      <c r="K101" s="26"/>
      <c r="L101" s="26"/>
      <c r="M101" s="22" t="s">
        <v>210</v>
      </c>
      <c r="N101" s="22"/>
      <c r="O101" s="22"/>
      <c r="P101" s="23" t="s">
        <v>52</v>
      </c>
      <c r="Q101" s="24" t="s">
        <v>202</v>
      </c>
    </row>
    <row r="102" s="20" customFormat="1" customHeight="1" spans="1:17">
      <c r="A102" s="19">
        <v>101</v>
      </c>
      <c r="B102" s="21" t="s">
        <v>179</v>
      </c>
      <c r="C102" s="31">
        <f>SUBTOTAL(103,$B$1:B102)-1</f>
        <v>101</v>
      </c>
      <c r="D102" s="21" t="s">
        <v>50</v>
      </c>
      <c r="E102" s="21" t="s">
        <v>184</v>
      </c>
      <c r="F102" s="21" t="s">
        <v>180</v>
      </c>
      <c r="G102" s="21" t="s">
        <v>146</v>
      </c>
      <c r="H102" s="21" t="s">
        <v>187</v>
      </c>
      <c r="I102" s="21"/>
      <c r="J102" s="21"/>
      <c r="K102" s="21" t="s">
        <v>69</v>
      </c>
      <c r="L102" s="21"/>
      <c r="M102" s="22" t="s">
        <v>211</v>
      </c>
      <c r="N102" s="23"/>
      <c r="O102" s="23"/>
      <c r="P102" s="23" t="s">
        <v>52</v>
      </c>
      <c r="Q102" s="24" t="s">
        <v>202</v>
      </c>
    </row>
    <row r="103" s="20" customFormat="1" customHeight="1" spans="1:17">
      <c r="A103" s="19">
        <v>102</v>
      </c>
      <c r="B103" s="21" t="s">
        <v>179</v>
      </c>
      <c r="C103" s="31">
        <f>SUBTOTAL(103,$B$1:B103)-1</f>
        <v>102</v>
      </c>
      <c r="D103" s="21" t="s">
        <v>50</v>
      </c>
      <c r="E103" s="21" t="s">
        <v>195</v>
      </c>
      <c r="F103" s="21" t="s">
        <v>180</v>
      </c>
      <c r="G103" s="21" t="s">
        <v>146</v>
      </c>
      <c r="H103" s="21" t="s">
        <v>187</v>
      </c>
      <c r="I103" s="21"/>
      <c r="J103" s="21"/>
      <c r="K103" s="21" t="s">
        <v>69</v>
      </c>
      <c r="L103" s="21"/>
      <c r="M103" s="22" t="s">
        <v>212</v>
      </c>
      <c r="N103" s="23"/>
      <c r="O103" s="23"/>
      <c r="P103" s="23" t="s">
        <v>40</v>
      </c>
      <c r="Q103" s="24" t="s">
        <v>197</v>
      </c>
    </row>
    <row r="104" s="20" customFormat="1" customHeight="1" spans="1:17">
      <c r="A104" s="19">
        <v>103</v>
      </c>
      <c r="B104" s="21" t="s">
        <v>179</v>
      </c>
      <c r="C104" s="31">
        <f>SUBTOTAL(103,$B$1:B104)-1</f>
        <v>103</v>
      </c>
      <c r="D104" s="21" t="s">
        <v>149</v>
      </c>
      <c r="E104" s="21" t="s">
        <v>18</v>
      </c>
      <c r="F104" s="21" t="s">
        <v>180</v>
      </c>
      <c r="G104" s="26" t="s">
        <v>20</v>
      </c>
      <c r="H104" s="21"/>
      <c r="I104" s="21"/>
      <c r="J104" s="21"/>
      <c r="K104" s="26" t="s">
        <v>162</v>
      </c>
      <c r="L104" s="26"/>
      <c r="M104" s="22" t="s">
        <v>213</v>
      </c>
      <c r="N104" s="23"/>
      <c r="O104" s="23"/>
      <c r="P104" s="23"/>
      <c r="Q104" s="24"/>
    </row>
    <row r="105" s="20" customFormat="1" customHeight="1" spans="1:17">
      <c r="A105" s="19">
        <v>104</v>
      </c>
      <c r="B105" s="21" t="s">
        <v>179</v>
      </c>
      <c r="C105" s="31">
        <f>SUBTOTAL(103,$B$1:B105)-1</f>
        <v>104</v>
      </c>
      <c r="D105" s="21" t="s">
        <v>149</v>
      </c>
      <c r="E105" s="21" t="s">
        <v>18</v>
      </c>
      <c r="F105" s="21" t="s">
        <v>180</v>
      </c>
      <c r="G105" s="26" t="s">
        <v>20</v>
      </c>
      <c r="H105" s="21"/>
      <c r="I105" s="21"/>
      <c r="J105" s="21"/>
      <c r="K105" s="26" t="s">
        <v>162</v>
      </c>
      <c r="L105" s="26"/>
      <c r="M105" s="22" t="s">
        <v>214</v>
      </c>
      <c r="N105" s="23"/>
      <c r="O105" s="23"/>
      <c r="P105" s="23"/>
      <c r="Q105" s="24"/>
    </row>
    <row r="106" s="20" customFormat="1" customHeight="1" spans="1:17">
      <c r="A106" s="19">
        <v>105</v>
      </c>
      <c r="B106" s="21" t="s">
        <v>179</v>
      </c>
      <c r="C106" s="31">
        <f>SUBTOTAL(103,$B$1:B106)-1</f>
        <v>105</v>
      </c>
      <c r="D106" s="21" t="s">
        <v>149</v>
      </c>
      <c r="E106" s="21" t="s">
        <v>184</v>
      </c>
      <c r="F106" s="26" t="s">
        <v>180</v>
      </c>
      <c r="G106" s="21" t="s">
        <v>146</v>
      </c>
      <c r="H106" s="21" t="s">
        <v>187</v>
      </c>
      <c r="I106" s="21"/>
      <c r="J106" s="21"/>
      <c r="K106" s="21" t="s">
        <v>117</v>
      </c>
      <c r="L106" s="21"/>
      <c r="M106" s="22" t="s">
        <v>215</v>
      </c>
      <c r="N106" s="23"/>
      <c r="O106" s="23"/>
      <c r="P106" s="23" t="s">
        <v>52</v>
      </c>
      <c r="Q106" s="24" t="s">
        <v>216</v>
      </c>
    </row>
    <row r="107" s="20" customFormat="1" customHeight="1" spans="1:17">
      <c r="A107" s="19">
        <v>106</v>
      </c>
      <c r="B107" s="21" t="s">
        <v>179</v>
      </c>
      <c r="C107" s="31">
        <f>SUBTOTAL(103,$B$1:B107)-1</f>
        <v>106</v>
      </c>
      <c r="D107" s="21" t="s">
        <v>149</v>
      </c>
      <c r="E107" s="21" t="s">
        <v>184</v>
      </c>
      <c r="F107" s="26" t="s">
        <v>180</v>
      </c>
      <c r="G107" s="21" t="s">
        <v>146</v>
      </c>
      <c r="H107" s="21" t="s">
        <v>187</v>
      </c>
      <c r="I107" s="21"/>
      <c r="J107" s="21"/>
      <c r="K107" s="21" t="s">
        <v>117</v>
      </c>
      <c r="L107" s="21"/>
      <c r="M107" s="22" t="s">
        <v>217</v>
      </c>
      <c r="N107" s="23"/>
      <c r="O107" s="23"/>
      <c r="P107" s="23" t="s">
        <v>52</v>
      </c>
      <c r="Q107" s="24" t="s">
        <v>218</v>
      </c>
    </row>
    <row r="108" s="20" customFormat="1" customHeight="1" spans="1:17">
      <c r="A108" s="19">
        <v>107</v>
      </c>
      <c r="B108" s="21" t="s">
        <v>179</v>
      </c>
      <c r="C108" s="31">
        <f>SUBTOTAL(103,$B$1:B108)-1</f>
        <v>107</v>
      </c>
      <c r="D108" s="26" t="s">
        <v>149</v>
      </c>
      <c r="E108" s="21" t="s">
        <v>184</v>
      </c>
      <c r="F108" s="21" t="s">
        <v>180</v>
      </c>
      <c r="G108" s="21" t="s">
        <v>146</v>
      </c>
      <c r="H108" s="21" t="s">
        <v>187</v>
      </c>
      <c r="I108" s="23"/>
      <c r="J108" s="23"/>
      <c r="K108" s="23" t="s">
        <v>117</v>
      </c>
      <c r="L108" s="23"/>
      <c r="M108" s="22" t="s">
        <v>219</v>
      </c>
      <c r="N108" s="22"/>
      <c r="O108" s="22"/>
      <c r="P108" s="23" t="s">
        <v>52</v>
      </c>
      <c r="Q108" s="24" t="s">
        <v>216</v>
      </c>
    </row>
    <row r="109" s="20" customFormat="1" customHeight="1" spans="1:17">
      <c r="A109" s="19">
        <v>108</v>
      </c>
      <c r="B109" s="21" t="s">
        <v>179</v>
      </c>
      <c r="C109" s="31">
        <f>SUBTOTAL(103,$B$1:B109)-1</f>
        <v>108</v>
      </c>
      <c r="D109" s="26" t="s">
        <v>149</v>
      </c>
      <c r="E109" s="21" t="s">
        <v>195</v>
      </c>
      <c r="F109" s="21" t="s">
        <v>180</v>
      </c>
      <c r="G109" s="21" t="s">
        <v>146</v>
      </c>
      <c r="H109" s="21" t="s">
        <v>187</v>
      </c>
      <c r="I109" s="23"/>
      <c r="J109" s="23"/>
      <c r="K109" s="23" t="s">
        <v>117</v>
      </c>
      <c r="L109" s="23"/>
      <c r="M109" s="22" t="s">
        <v>220</v>
      </c>
      <c r="N109" s="22"/>
      <c r="O109" s="22"/>
      <c r="P109" s="23" t="s">
        <v>52</v>
      </c>
      <c r="Q109" s="24" t="s">
        <v>216</v>
      </c>
    </row>
    <row r="110" s="20" customFormat="1" customHeight="1" spans="1:17">
      <c r="A110" s="19">
        <v>109</v>
      </c>
      <c r="B110" s="21" t="s">
        <v>179</v>
      </c>
      <c r="C110" s="31">
        <f>SUBTOTAL(103,$B$1:B110)-1</f>
        <v>109</v>
      </c>
      <c r="D110" s="26" t="s">
        <v>149</v>
      </c>
      <c r="E110" s="21" t="s">
        <v>184</v>
      </c>
      <c r="F110" s="21" t="s">
        <v>180</v>
      </c>
      <c r="G110" s="21" t="s">
        <v>146</v>
      </c>
      <c r="H110" s="21" t="s">
        <v>187</v>
      </c>
      <c r="I110" s="23"/>
      <c r="J110" s="23"/>
      <c r="K110" s="23" t="s">
        <v>117</v>
      </c>
      <c r="L110" s="23"/>
      <c r="M110" s="22" t="s">
        <v>221</v>
      </c>
      <c r="N110" s="22"/>
      <c r="O110" s="22"/>
      <c r="P110" s="23" t="s">
        <v>52</v>
      </c>
      <c r="Q110" s="24" t="s">
        <v>222</v>
      </c>
    </row>
    <row r="111" s="20" customFormat="1" customHeight="1" spans="1:17">
      <c r="A111" s="19">
        <v>110</v>
      </c>
      <c r="B111" s="21" t="s">
        <v>179</v>
      </c>
      <c r="C111" s="31">
        <f>SUBTOTAL(103,$B$1:B111)-1</f>
        <v>110</v>
      </c>
      <c r="D111" s="26" t="s">
        <v>71</v>
      </c>
      <c r="E111" s="26" t="s">
        <v>18</v>
      </c>
      <c r="F111" s="26" t="s">
        <v>180</v>
      </c>
      <c r="G111" s="21" t="s">
        <v>114</v>
      </c>
      <c r="H111" s="21" t="s">
        <v>45</v>
      </c>
      <c r="I111" s="21"/>
      <c r="J111" s="21"/>
      <c r="K111" s="21" t="s">
        <v>143</v>
      </c>
      <c r="L111" s="21"/>
      <c r="M111" s="22" t="s">
        <v>223</v>
      </c>
      <c r="N111" s="23"/>
      <c r="O111" s="23"/>
      <c r="P111" s="23" t="s">
        <v>40</v>
      </c>
      <c r="Q111" s="38" t="s">
        <v>224</v>
      </c>
    </row>
    <row r="112" s="20" customFormat="1" customHeight="1" spans="1:17">
      <c r="A112" s="19">
        <v>111</v>
      </c>
      <c r="B112" s="21" t="s">
        <v>179</v>
      </c>
      <c r="C112" s="31">
        <f>SUBTOTAL(103,$B$1:B112)-1</f>
        <v>111</v>
      </c>
      <c r="D112" s="21" t="s">
        <v>77</v>
      </c>
      <c r="E112" s="21" t="s">
        <v>18</v>
      </c>
      <c r="F112" s="26" t="s">
        <v>180</v>
      </c>
      <c r="G112" s="26" t="s">
        <v>20</v>
      </c>
      <c r="H112" s="21"/>
      <c r="I112" s="21"/>
      <c r="J112" s="21"/>
      <c r="K112" s="26" t="s">
        <v>162</v>
      </c>
      <c r="L112" s="26"/>
      <c r="M112" s="22" t="s">
        <v>225</v>
      </c>
      <c r="N112" s="23"/>
      <c r="O112" s="23"/>
      <c r="P112" s="23"/>
      <c r="Q112" s="24"/>
    </row>
    <row r="113" s="20" customFormat="1" customHeight="1" spans="1:17">
      <c r="A113" s="19">
        <v>112</v>
      </c>
      <c r="B113" s="21" t="s">
        <v>179</v>
      </c>
      <c r="C113" s="31">
        <f>SUBTOTAL(103,$B$1:B113)-1</f>
        <v>112</v>
      </c>
      <c r="D113" s="21" t="s">
        <v>77</v>
      </c>
      <c r="E113" s="21" t="s">
        <v>18</v>
      </c>
      <c r="F113" s="26" t="s">
        <v>180</v>
      </c>
      <c r="G113" s="26" t="s">
        <v>20</v>
      </c>
      <c r="H113" s="21"/>
      <c r="I113" s="21"/>
      <c r="J113" s="21"/>
      <c r="K113" s="26" t="s">
        <v>69</v>
      </c>
      <c r="L113" s="26"/>
      <c r="M113" s="22" t="s">
        <v>226</v>
      </c>
      <c r="N113" s="23"/>
      <c r="O113" s="23"/>
      <c r="P113" s="23"/>
      <c r="Q113" s="24"/>
    </row>
    <row r="114" s="20" customFormat="1" customHeight="1" spans="1:17">
      <c r="A114" s="19">
        <v>113</v>
      </c>
      <c r="B114" s="21" t="s">
        <v>179</v>
      </c>
      <c r="C114" s="31">
        <f>SUBTOTAL(103,$B$1:B114)-1</f>
        <v>113</v>
      </c>
      <c r="D114" s="21" t="s">
        <v>77</v>
      </c>
      <c r="E114" s="21" t="s">
        <v>184</v>
      </c>
      <c r="F114" s="26" t="s">
        <v>180</v>
      </c>
      <c r="G114" s="26" t="s">
        <v>20</v>
      </c>
      <c r="H114" s="21"/>
      <c r="I114" s="21"/>
      <c r="J114" s="21"/>
      <c r="K114" s="26" t="s">
        <v>105</v>
      </c>
      <c r="L114" s="26"/>
      <c r="M114" s="22" t="s">
        <v>227</v>
      </c>
      <c r="N114" s="23"/>
      <c r="O114" s="23"/>
      <c r="P114" s="23" t="s">
        <v>84</v>
      </c>
      <c r="Q114" s="24" t="s">
        <v>228</v>
      </c>
    </row>
    <row r="115" s="20" customFormat="1" customHeight="1" spans="1:17">
      <c r="A115" s="19">
        <v>114</v>
      </c>
      <c r="B115" s="21" t="s">
        <v>179</v>
      </c>
      <c r="C115" s="31">
        <f>SUBTOTAL(103,$B$1:B115)-1</f>
        <v>114</v>
      </c>
      <c r="D115" s="21" t="s">
        <v>77</v>
      </c>
      <c r="E115" s="21" t="s">
        <v>184</v>
      </c>
      <c r="F115" s="26" t="s">
        <v>180</v>
      </c>
      <c r="G115" s="26" t="s">
        <v>20</v>
      </c>
      <c r="H115" s="21"/>
      <c r="I115" s="21"/>
      <c r="J115" s="21"/>
      <c r="K115" s="26" t="s">
        <v>105</v>
      </c>
      <c r="L115" s="26"/>
      <c r="M115" s="22" t="s">
        <v>229</v>
      </c>
      <c r="N115" s="23"/>
      <c r="O115" s="23"/>
      <c r="P115" s="23" t="s">
        <v>84</v>
      </c>
      <c r="Q115" s="24" t="s">
        <v>228</v>
      </c>
    </row>
    <row r="116" s="20" customFormat="1" customHeight="1" spans="1:17">
      <c r="A116" s="19">
        <v>115</v>
      </c>
      <c r="B116" s="21" t="s">
        <v>179</v>
      </c>
      <c r="C116" s="31">
        <f>SUBTOTAL(103,$B$1:B116)-1</f>
        <v>115</v>
      </c>
      <c r="D116" s="26" t="s">
        <v>77</v>
      </c>
      <c r="E116" s="26" t="s">
        <v>230</v>
      </c>
      <c r="F116" s="26" t="s">
        <v>180</v>
      </c>
      <c r="G116" s="26" t="s">
        <v>20</v>
      </c>
      <c r="H116" s="21" t="s">
        <v>21</v>
      </c>
      <c r="I116" s="22"/>
      <c r="J116" s="22"/>
      <c r="K116" s="26" t="s">
        <v>69</v>
      </c>
      <c r="L116" s="26"/>
      <c r="M116" s="22" t="s">
        <v>231</v>
      </c>
      <c r="N116" s="22"/>
      <c r="O116" s="22"/>
      <c r="P116" s="23" t="s">
        <v>84</v>
      </c>
      <c r="Q116" s="38" t="s">
        <v>228</v>
      </c>
    </row>
    <row r="117" s="20" customFormat="1" customHeight="1" spans="1:17">
      <c r="A117" s="19">
        <v>116</v>
      </c>
      <c r="B117" s="21" t="s">
        <v>179</v>
      </c>
      <c r="C117" s="31">
        <f>SUBTOTAL(103,$B$1:B117)-1</f>
        <v>116</v>
      </c>
      <c r="D117" s="21" t="s">
        <v>77</v>
      </c>
      <c r="E117" s="21" t="s">
        <v>230</v>
      </c>
      <c r="F117" s="21" t="s">
        <v>180</v>
      </c>
      <c r="G117" s="21" t="s">
        <v>146</v>
      </c>
      <c r="H117" s="21" t="s">
        <v>187</v>
      </c>
      <c r="I117" s="21"/>
      <c r="J117" s="21"/>
      <c r="K117" s="21" t="s">
        <v>115</v>
      </c>
      <c r="L117" s="21"/>
      <c r="M117" s="22" t="s">
        <v>232</v>
      </c>
      <c r="N117" s="23"/>
      <c r="O117" s="23"/>
      <c r="P117" s="23" t="s">
        <v>84</v>
      </c>
      <c r="Q117" s="24" t="s">
        <v>169</v>
      </c>
    </row>
    <row r="118" s="20" customFormat="1" customHeight="1" spans="1:17">
      <c r="A118" s="19">
        <v>117</v>
      </c>
      <c r="B118" s="21" t="s">
        <v>179</v>
      </c>
      <c r="C118" s="31">
        <f>SUBTOTAL(103,$B$1:B118)-1</f>
        <v>117</v>
      </c>
      <c r="D118" s="21" t="s">
        <v>77</v>
      </c>
      <c r="E118" s="21" t="s">
        <v>230</v>
      </c>
      <c r="F118" s="21" t="s">
        <v>180</v>
      </c>
      <c r="G118" s="21" t="s">
        <v>146</v>
      </c>
      <c r="H118" s="21" t="s">
        <v>187</v>
      </c>
      <c r="I118" s="21"/>
      <c r="J118" s="21"/>
      <c r="K118" s="21" t="s">
        <v>115</v>
      </c>
      <c r="L118" s="21"/>
      <c r="M118" s="22" t="s">
        <v>233</v>
      </c>
      <c r="N118" s="23"/>
      <c r="O118" s="23"/>
      <c r="P118" s="23" t="s">
        <v>84</v>
      </c>
      <c r="Q118" s="24" t="s">
        <v>228</v>
      </c>
    </row>
    <row r="119" s="20" customFormat="1" customHeight="1" spans="1:17">
      <c r="A119" s="19">
        <v>118</v>
      </c>
      <c r="B119" s="21" t="s">
        <v>179</v>
      </c>
      <c r="C119" s="31">
        <f>SUBTOTAL(103,$B$1:B119)-1</f>
        <v>118</v>
      </c>
      <c r="D119" s="21" t="s">
        <v>77</v>
      </c>
      <c r="E119" s="21" t="s">
        <v>230</v>
      </c>
      <c r="F119" s="21" t="s">
        <v>180</v>
      </c>
      <c r="G119" s="26" t="s">
        <v>20</v>
      </c>
      <c r="H119" s="21"/>
      <c r="I119" s="21"/>
      <c r="J119" s="21"/>
      <c r="K119" s="26" t="s">
        <v>69</v>
      </c>
      <c r="L119" s="26"/>
      <c r="M119" s="22" t="s">
        <v>234</v>
      </c>
      <c r="N119" s="23"/>
      <c r="O119" s="23"/>
      <c r="P119" s="23" t="s">
        <v>84</v>
      </c>
      <c r="Q119" s="24" t="s">
        <v>228</v>
      </c>
    </row>
    <row r="120" s="20" customFormat="1" customHeight="1" spans="1:17">
      <c r="A120" s="19">
        <v>119</v>
      </c>
      <c r="B120" s="21" t="s">
        <v>235</v>
      </c>
      <c r="C120" s="31">
        <f>SUBTOTAL(103,$B$1:B120)-1</f>
        <v>119</v>
      </c>
      <c r="D120" s="21" t="s">
        <v>17</v>
      </c>
      <c r="E120" s="21" t="s">
        <v>18</v>
      </c>
      <c r="F120" s="21" t="s">
        <v>236</v>
      </c>
      <c r="G120" s="26" t="s">
        <v>20</v>
      </c>
      <c r="H120" s="21"/>
      <c r="I120" s="26" t="s">
        <v>33</v>
      </c>
      <c r="J120" s="21"/>
      <c r="K120" s="26" t="s">
        <v>57</v>
      </c>
      <c r="L120" s="26"/>
      <c r="M120" s="22" t="s">
        <v>237</v>
      </c>
      <c r="N120" s="44"/>
      <c r="O120" s="44"/>
      <c r="P120" s="23" t="s">
        <v>24</v>
      </c>
      <c r="Q120" s="24" t="s">
        <v>238</v>
      </c>
    </row>
    <row r="121" s="20" customFormat="1" customHeight="1" spans="1:17">
      <c r="A121" s="19">
        <v>120</v>
      </c>
      <c r="B121" s="21" t="s">
        <v>239</v>
      </c>
      <c r="C121" s="31">
        <f>SUBTOTAL(103,$B$1:B121)-1</f>
        <v>120</v>
      </c>
      <c r="D121" s="21" t="s">
        <v>17</v>
      </c>
      <c r="E121" s="21" t="s">
        <v>18</v>
      </c>
      <c r="F121" s="21" t="s">
        <v>240</v>
      </c>
      <c r="G121" s="26" t="s">
        <v>20</v>
      </c>
      <c r="H121" s="21"/>
      <c r="I121" s="21"/>
      <c r="J121" s="21"/>
      <c r="K121" s="26" t="s">
        <v>31</v>
      </c>
      <c r="L121" s="26"/>
      <c r="M121" s="22" t="s">
        <v>241</v>
      </c>
      <c r="N121" s="23"/>
      <c r="O121" s="23"/>
      <c r="P121" s="23" t="s">
        <v>24</v>
      </c>
      <c r="Q121" s="24"/>
    </row>
    <row r="122" s="20" customFormat="1" customHeight="1" spans="1:17">
      <c r="A122" s="19">
        <v>121</v>
      </c>
      <c r="B122" s="21" t="s">
        <v>235</v>
      </c>
      <c r="C122" s="31">
        <f>SUBTOTAL(103,$B$1:B122)-1</f>
        <v>121</v>
      </c>
      <c r="D122" s="26" t="s">
        <v>17</v>
      </c>
      <c r="E122" s="21" t="s">
        <v>184</v>
      </c>
      <c r="F122" s="21" t="s">
        <v>236</v>
      </c>
      <c r="G122" s="21" t="s">
        <v>157</v>
      </c>
      <c r="H122" s="21"/>
      <c r="I122" s="19"/>
      <c r="J122" s="19"/>
      <c r="K122" s="19" t="s">
        <v>117</v>
      </c>
      <c r="L122" s="19"/>
      <c r="M122" s="22" t="s">
        <v>242</v>
      </c>
      <c r="N122" s="23"/>
      <c r="O122" s="23"/>
      <c r="P122" s="23" t="s">
        <v>24</v>
      </c>
      <c r="Q122" s="24"/>
    </row>
    <row r="123" s="20" customFormat="1" customHeight="1" spans="1:17">
      <c r="A123" s="19">
        <v>122</v>
      </c>
      <c r="B123" s="21" t="s">
        <v>235</v>
      </c>
      <c r="C123" s="31">
        <f>SUBTOTAL(103,$B$1:B123)-1</f>
        <v>122</v>
      </c>
      <c r="D123" s="26" t="s">
        <v>17</v>
      </c>
      <c r="E123" s="21" t="s">
        <v>184</v>
      </c>
      <c r="F123" s="21" t="s">
        <v>236</v>
      </c>
      <c r="G123" s="21" t="s">
        <v>157</v>
      </c>
      <c r="H123" s="21"/>
      <c r="I123" s="19"/>
      <c r="J123" s="19"/>
      <c r="K123" s="19" t="s">
        <v>117</v>
      </c>
      <c r="L123" s="19"/>
      <c r="M123" s="22" t="s">
        <v>243</v>
      </c>
      <c r="N123" s="23"/>
      <c r="O123" s="23"/>
      <c r="P123" s="23" t="s">
        <v>24</v>
      </c>
      <c r="Q123" s="24"/>
    </row>
    <row r="124" s="20" customFormat="1" customHeight="1" spans="1:17">
      <c r="A124" s="19">
        <v>123</v>
      </c>
      <c r="B124" s="21" t="s">
        <v>235</v>
      </c>
      <c r="C124" s="31">
        <f>SUBTOTAL(103,$B$1:B124)-1</f>
        <v>123</v>
      </c>
      <c r="D124" s="26" t="s">
        <v>17</v>
      </c>
      <c r="E124" s="21" t="s">
        <v>184</v>
      </c>
      <c r="F124" s="21" t="s">
        <v>236</v>
      </c>
      <c r="G124" s="26" t="s">
        <v>20</v>
      </c>
      <c r="H124" s="21"/>
      <c r="I124" s="26" t="s">
        <v>33</v>
      </c>
      <c r="J124" s="19"/>
      <c r="K124" s="26" t="s">
        <v>97</v>
      </c>
      <c r="L124" s="26"/>
      <c r="M124" s="22" t="s">
        <v>244</v>
      </c>
      <c r="N124" s="33"/>
      <c r="O124" s="33"/>
      <c r="P124" s="23" t="s">
        <v>24</v>
      </c>
      <c r="Q124" s="24"/>
    </row>
    <row r="125" s="20" customFormat="1" customHeight="1" spans="1:17">
      <c r="A125" s="19">
        <v>124</v>
      </c>
      <c r="B125" s="21" t="s">
        <v>235</v>
      </c>
      <c r="C125" s="31">
        <f>SUBTOTAL(103,$B$1:B125)-1</f>
        <v>124</v>
      </c>
      <c r="D125" s="21" t="s">
        <v>17</v>
      </c>
      <c r="E125" s="26" t="s">
        <v>195</v>
      </c>
      <c r="F125" s="26" t="s">
        <v>236</v>
      </c>
      <c r="G125" s="26" t="s">
        <v>157</v>
      </c>
      <c r="H125" s="21"/>
      <c r="I125" s="22"/>
      <c r="J125" s="22"/>
      <c r="K125" s="22" t="s">
        <v>117</v>
      </c>
      <c r="L125" s="22"/>
      <c r="M125" s="22" t="s">
        <v>245</v>
      </c>
      <c r="N125" s="22"/>
      <c r="O125" s="22"/>
      <c r="P125" s="23" t="s">
        <v>24</v>
      </c>
      <c r="Q125" s="24" t="s">
        <v>246</v>
      </c>
    </row>
    <row r="126" s="20" customFormat="1" customHeight="1" spans="1:17">
      <c r="A126" s="19">
        <v>125</v>
      </c>
      <c r="B126" s="21" t="s">
        <v>235</v>
      </c>
      <c r="C126" s="31">
        <f>SUBTOTAL(103,$B$1:B126)-1</f>
        <v>125</v>
      </c>
      <c r="D126" s="26" t="s">
        <v>17</v>
      </c>
      <c r="E126" s="26" t="s">
        <v>195</v>
      </c>
      <c r="F126" s="26" t="s">
        <v>236</v>
      </c>
      <c r="G126" s="26" t="s">
        <v>157</v>
      </c>
      <c r="H126" s="21"/>
      <c r="I126" s="22"/>
      <c r="J126" s="22"/>
      <c r="K126" s="22" t="s">
        <v>117</v>
      </c>
      <c r="L126" s="22"/>
      <c r="M126" s="22" t="s">
        <v>246</v>
      </c>
      <c r="N126" s="23"/>
      <c r="O126" s="23"/>
      <c r="P126" s="23" t="s">
        <v>24</v>
      </c>
      <c r="Q126" s="38" t="s">
        <v>246</v>
      </c>
    </row>
    <row r="127" s="20" customFormat="1" customHeight="1" spans="1:17">
      <c r="A127" s="19">
        <v>126</v>
      </c>
      <c r="B127" s="21" t="s">
        <v>235</v>
      </c>
      <c r="C127" s="31">
        <f>SUBTOTAL(103,$B$1:B127)-1</f>
        <v>126</v>
      </c>
      <c r="D127" s="26" t="s">
        <v>17</v>
      </c>
      <c r="E127" s="21" t="s">
        <v>18</v>
      </c>
      <c r="F127" s="21" t="s">
        <v>236</v>
      </c>
      <c r="G127" s="26" t="s">
        <v>20</v>
      </c>
      <c r="H127" s="21"/>
      <c r="I127" s="26" t="s">
        <v>33</v>
      </c>
      <c r="J127" s="23"/>
      <c r="K127" s="26" t="s">
        <v>31</v>
      </c>
      <c r="L127" s="26"/>
      <c r="M127" s="22" t="s">
        <v>247</v>
      </c>
      <c r="N127" s="34"/>
      <c r="O127" s="34"/>
      <c r="P127" s="23" t="s">
        <v>24</v>
      </c>
      <c r="Q127" s="24" t="s">
        <v>248</v>
      </c>
    </row>
    <row r="128" s="20" customFormat="1" customHeight="1" spans="1:17">
      <c r="A128" s="19">
        <v>127</v>
      </c>
      <c r="B128" s="21" t="s">
        <v>235</v>
      </c>
      <c r="C128" s="31">
        <f>SUBTOTAL(103,$B$1:B128)-1</f>
        <v>127</v>
      </c>
      <c r="D128" s="21" t="s">
        <v>38</v>
      </c>
      <c r="E128" s="21" t="s">
        <v>184</v>
      </c>
      <c r="F128" s="26" t="s">
        <v>236</v>
      </c>
      <c r="G128" s="26" t="s">
        <v>20</v>
      </c>
      <c r="H128" s="21"/>
      <c r="I128" s="21"/>
      <c r="J128" s="21"/>
      <c r="K128" s="26"/>
      <c r="L128" s="26"/>
      <c r="M128" s="22" t="s">
        <v>249</v>
      </c>
      <c r="N128" s="23"/>
      <c r="O128" s="23"/>
      <c r="P128" s="23" t="s">
        <v>40</v>
      </c>
      <c r="Q128" s="24" t="s">
        <v>249</v>
      </c>
    </row>
    <row r="129" s="20" customFormat="1" customHeight="1" spans="1:17">
      <c r="A129" s="19">
        <v>128</v>
      </c>
      <c r="B129" s="21" t="s">
        <v>235</v>
      </c>
      <c r="C129" s="31">
        <f>SUBTOTAL(103,$B$1:B129)-1</f>
        <v>128</v>
      </c>
      <c r="D129" s="21" t="s">
        <v>38</v>
      </c>
      <c r="E129" s="21" t="s">
        <v>195</v>
      </c>
      <c r="F129" s="21" t="s">
        <v>236</v>
      </c>
      <c r="G129" s="21" t="s">
        <v>157</v>
      </c>
      <c r="H129" s="21"/>
      <c r="I129" s="23"/>
      <c r="J129" s="23"/>
      <c r="K129" s="23" t="s">
        <v>117</v>
      </c>
      <c r="L129" s="23"/>
      <c r="M129" s="22" t="s">
        <v>250</v>
      </c>
      <c r="N129" s="23"/>
      <c r="O129" s="23"/>
      <c r="P129" s="23" t="s">
        <v>40</v>
      </c>
      <c r="Q129" s="24" t="s">
        <v>250</v>
      </c>
    </row>
    <row r="130" s="20" customFormat="1" customHeight="1" spans="1:17">
      <c r="A130" s="19">
        <v>129</v>
      </c>
      <c r="B130" s="21" t="s">
        <v>239</v>
      </c>
      <c r="C130" s="31">
        <f>SUBTOTAL(103,$B$1:B130)-1</f>
        <v>129</v>
      </c>
      <c r="D130" s="21" t="s">
        <v>50</v>
      </c>
      <c r="E130" s="21" t="s">
        <v>18</v>
      </c>
      <c r="F130" s="21" t="s">
        <v>240</v>
      </c>
      <c r="G130" s="26" t="s">
        <v>20</v>
      </c>
      <c r="H130" s="21"/>
      <c r="I130" s="21"/>
      <c r="J130" s="21"/>
      <c r="K130" s="26" t="s">
        <v>162</v>
      </c>
      <c r="L130" s="26"/>
      <c r="M130" s="22" t="s">
        <v>251</v>
      </c>
      <c r="N130" s="23"/>
      <c r="O130" s="23"/>
      <c r="P130" s="23" t="s">
        <v>24</v>
      </c>
      <c r="Q130" s="24" t="s">
        <v>251</v>
      </c>
    </row>
    <row r="131" s="20" customFormat="1" customHeight="1" spans="1:17">
      <c r="A131" s="19">
        <v>130</v>
      </c>
      <c r="B131" s="21" t="s">
        <v>235</v>
      </c>
      <c r="C131" s="31">
        <f>SUBTOTAL(103,$B$1:B131)-1</f>
        <v>130</v>
      </c>
      <c r="D131" s="26" t="s">
        <v>149</v>
      </c>
      <c r="E131" s="21" t="s">
        <v>18</v>
      </c>
      <c r="F131" s="21" t="s">
        <v>236</v>
      </c>
      <c r="G131" s="26" t="s">
        <v>20</v>
      </c>
      <c r="H131" s="21"/>
      <c r="I131" s="21"/>
      <c r="J131" s="21"/>
      <c r="K131" s="26" t="s">
        <v>162</v>
      </c>
      <c r="L131" s="26"/>
      <c r="M131" s="22" t="s">
        <v>252</v>
      </c>
      <c r="N131" s="23"/>
      <c r="O131" s="23"/>
      <c r="P131" s="23" t="s">
        <v>75</v>
      </c>
      <c r="Q131" s="24"/>
    </row>
    <row r="132" s="20" customFormat="1" customHeight="1" spans="1:17">
      <c r="A132" s="19">
        <v>131</v>
      </c>
      <c r="B132" s="21" t="s">
        <v>235</v>
      </c>
      <c r="C132" s="31">
        <f>SUBTOTAL(103,$B$1:B132)-1</f>
        <v>131</v>
      </c>
      <c r="D132" s="21" t="s">
        <v>149</v>
      </c>
      <c r="E132" s="21" t="s">
        <v>18</v>
      </c>
      <c r="F132" s="21" t="s">
        <v>236</v>
      </c>
      <c r="G132" s="26" t="s">
        <v>20</v>
      </c>
      <c r="H132" s="21"/>
      <c r="I132" s="21"/>
      <c r="J132" s="21"/>
      <c r="K132" s="26" t="s">
        <v>162</v>
      </c>
      <c r="L132" s="26"/>
      <c r="M132" s="22" t="s">
        <v>253</v>
      </c>
      <c r="N132" s="40"/>
      <c r="O132" s="40"/>
      <c r="P132" s="23" t="s">
        <v>52</v>
      </c>
      <c r="Q132" s="24" t="s">
        <v>253</v>
      </c>
    </row>
    <row r="133" s="20" customFormat="1" customHeight="1" spans="1:17">
      <c r="A133" s="19">
        <v>132</v>
      </c>
      <c r="B133" s="21" t="s">
        <v>235</v>
      </c>
      <c r="C133" s="31">
        <f>SUBTOTAL(103,$B$1:B133)-1</f>
        <v>132</v>
      </c>
      <c r="D133" s="26" t="s">
        <v>149</v>
      </c>
      <c r="E133" s="21" t="s">
        <v>18</v>
      </c>
      <c r="F133" s="21" t="s">
        <v>236</v>
      </c>
      <c r="G133" s="26" t="s">
        <v>20</v>
      </c>
      <c r="H133" s="21"/>
      <c r="I133" s="21"/>
      <c r="J133" s="21"/>
      <c r="K133" s="26" t="s">
        <v>162</v>
      </c>
      <c r="L133" s="26"/>
      <c r="M133" s="22" t="s">
        <v>254</v>
      </c>
      <c r="N133" s="23"/>
      <c r="O133" s="23"/>
      <c r="P133" s="23" t="s">
        <v>75</v>
      </c>
      <c r="Q133" s="24"/>
    </row>
    <row r="134" s="20" customFormat="1" customHeight="1" spans="1:17">
      <c r="A134" s="19">
        <v>133</v>
      </c>
      <c r="B134" s="21" t="s">
        <v>235</v>
      </c>
      <c r="C134" s="31">
        <f>SUBTOTAL(103,$B$1:B134)-1</f>
        <v>133</v>
      </c>
      <c r="D134" s="21" t="s">
        <v>149</v>
      </c>
      <c r="E134" s="21" t="s">
        <v>18</v>
      </c>
      <c r="F134" s="21" t="s">
        <v>236</v>
      </c>
      <c r="G134" s="26" t="s">
        <v>20</v>
      </c>
      <c r="H134" s="21"/>
      <c r="I134" s="21"/>
      <c r="J134" s="21"/>
      <c r="K134" s="26" t="s">
        <v>162</v>
      </c>
      <c r="L134" s="26"/>
      <c r="M134" s="22" t="s">
        <v>255</v>
      </c>
      <c r="N134" s="23"/>
      <c r="O134" s="23"/>
      <c r="P134" s="23" t="s">
        <v>52</v>
      </c>
      <c r="Q134" s="24" t="s">
        <v>256</v>
      </c>
    </row>
    <row r="135" s="20" customFormat="1" customHeight="1" spans="1:17">
      <c r="A135" s="19">
        <v>134</v>
      </c>
      <c r="B135" s="21" t="s">
        <v>239</v>
      </c>
      <c r="C135" s="31">
        <f>SUBTOTAL(103,$B$1:B135)-1</f>
        <v>134</v>
      </c>
      <c r="D135" s="21" t="s">
        <v>149</v>
      </c>
      <c r="E135" s="21" t="s">
        <v>18</v>
      </c>
      <c r="F135" s="21" t="s">
        <v>240</v>
      </c>
      <c r="G135" s="26" t="s">
        <v>20</v>
      </c>
      <c r="H135" s="21"/>
      <c r="I135" s="21"/>
      <c r="J135" s="21"/>
      <c r="K135" s="26"/>
      <c r="L135" s="26"/>
      <c r="M135" s="22" t="s">
        <v>257</v>
      </c>
      <c r="N135" s="23"/>
      <c r="O135" s="23"/>
      <c r="P135" s="23" t="s">
        <v>52</v>
      </c>
      <c r="Q135" s="24"/>
    </row>
    <row r="136" s="20" customFormat="1" customHeight="1" spans="1:17">
      <c r="A136" s="19">
        <v>135</v>
      </c>
      <c r="B136" s="21" t="s">
        <v>235</v>
      </c>
      <c r="C136" s="31">
        <f>SUBTOTAL(103,$B$1:B136)-1</f>
        <v>135</v>
      </c>
      <c r="D136" s="21" t="s">
        <v>149</v>
      </c>
      <c r="E136" s="21" t="s">
        <v>184</v>
      </c>
      <c r="F136" s="26" t="s">
        <v>236</v>
      </c>
      <c r="G136" s="26" t="s">
        <v>20</v>
      </c>
      <c r="H136" s="21"/>
      <c r="I136" s="21"/>
      <c r="J136" s="21"/>
      <c r="K136" s="26"/>
      <c r="L136" s="26"/>
      <c r="M136" s="22" t="s">
        <v>258</v>
      </c>
      <c r="N136" s="23"/>
      <c r="O136" s="23"/>
      <c r="P136" s="23" t="s">
        <v>52</v>
      </c>
      <c r="Q136" s="24" t="s">
        <v>258</v>
      </c>
    </row>
    <row r="137" s="20" customFormat="1" customHeight="1" spans="1:17">
      <c r="A137" s="19">
        <v>136</v>
      </c>
      <c r="B137" s="21" t="s">
        <v>235</v>
      </c>
      <c r="C137" s="31">
        <f>SUBTOTAL(103,$B$1:B137)-1</f>
        <v>136</v>
      </c>
      <c r="D137" s="21" t="s">
        <v>149</v>
      </c>
      <c r="E137" s="21" t="s">
        <v>195</v>
      </c>
      <c r="F137" s="26" t="s">
        <v>236</v>
      </c>
      <c r="G137" s="26" t="s">
        <v>20</v>
      </c>
      <c r="H137" s="21"/>
      <c r="I137" s="21"/>
      <c r="J137" s="21"/>
      <c r="K137" s="26" t="s">
        <v>57</v>
      </c>
      <c r="L137" s="26"/>
      <c r="M137" s="22" t="s">
        <v>259</v>
      </c>
      <c r="N137" s="23"/>
      <c r="O137" s="23"/>
      <c r="P137" s="23" t="s">
        <v>52</v>
      </c>
      <c r="Q137" s="24" t="s">
        <v>260</v>
      </c>
    </row>
    <row r="138" s="20" customFormat="1" customHeight="1" spans="1:17">
      <c r="A138" s="19">
        <v>137</v>
      </c>
      <c r="B138" s="21" t="s">
        <v>235</v>
      </c>
      <c r="C138" s="31">
        <f>SUBTOTAL(103,$B$1:B138)-1</f>
        <v>137</v>
      </c>
      <c r="D138" s="21" t="s">
        <v>149</v>
      </c>
      <c r="E138" s="21" t="s">
        <v>195</v>
      </c>
      <c r="F138" s="26" t="s">
        <v>236</v>
      </c>
      <c r="G138" s="26" t="s">
        <v>20</v>
      </c>
      <c r="H138" s="21"/>
      <c r="I138" s="21"/>
      <c r="J138" s="21"/>
      <c r="K138" s="26"/>
      <c r="L138" s="26"/>
      <c r="M138" s="22" t="s">
        <v>261</v>
      </c>
      <c r="N138" s="23"/>
      <c r="O138" s="23"/>
      <c r="P138" s="23" t="s">
        <v>52</v>
      </c>
      <c r="Q138" s="24" t="s">
        <v>261</v>
      </c>
    </row>
    <row r="139" s="20" customFormat="1" customHeight="1" spans="1:17">
      <c r="A139" s="19">
        <v>138</v>
      </c>
      <c r="B139" s="21" t="s">
        <v>235</v>
      </c>
      <c r="C139" s="31">
        <f>SUBTOTAL(103,$B$1:B139)-1</f>
        <v>138</v>
      </c>
      <c r="D139" s="21" t="s">
        <v>149</v>
      </c>
      <c r="E139" s="21" t="s">
        <v>184</v>
      </c>
      <c r="F139" s="21" t="s">
        <v>236</v>
      </c>
      <c r="G139" s="21" t="s">
        <v>157</v>
      </c>
      <c r="H139" s="21"/>
      <c r="I139" s="23"/>
      <c r="J139" s="23"/>
      <c r="K139" s="23" t="s">
        <v>117</v>
      </c>
      <c r="L139" s="23"/>
      <c r="M139" s="22" t="s">
        <v>262</v>
      </c>
      <c r="N139" s="23"/>
      <c r="O139" s="23"/>
      <c r="P139" s="23" t="s">
        <v>75</v>
      </c>
      <c r="Q139" s="24" t="s">
        <v>262</v>
      </c>
    </row>
    <row r="140" s="20" customFormat="1" customHeight="1" spans="1:17">
      <c r="A140" s="19">
        <v>139</v>
      </c>
      <c r="B140" s="21" t="s">
        <v>235</v>
      </c>
      <c r="C140" s="31">
        <f>SUBTOTAL(103,$B$1:B140)-1</f>
        <v>139</v>
      </c>
      <c r="D140" s="21" t="s">
        <v>149</v>
      </c>
      <c r="E140" s="21" t="s">
        <v>230</v>
      </c>
      <c r="F140" s="21" t="s">
        <v>236</v>
      </c>
      <c r="G140" s="21" t="s">
        <v>157</v>
      </c>
      <c r="H140" s="21"/>
      <c r="I140" s="23"/>
      <c r="J140" s="23"/>
      <c r="K140" s="23" t="s">
        <v>117</v>
      </c>
      <c r="L140" s="23"/>
      <c r="M140" s="22" t="s">
        <v>263</v>
      </c>
      <c r="N140" s="23"/>
      <c r="O140" s="23"/>
      <c r="P140" s="23" t="s">
        <v>52</v>
      </c>
      <c r="Q140" s="24" t="s">
        <v>258</v>
      </c>
    </row>
    <row r="141" s="20" customFormat="1" customHeight="1" spans="1:17">
      <c r="A141" s="19">
        <v>140</v>
      </c>
      <c r="B141" s="21" t="s">
        <v>235</v>
      </c>
      <c r="C141" s="31">
        <f>SUBTOTAL(103,$B$1:B141)-1</f>
        <v>140</v>
      </c>
      <c r="D141" s="21" t="s">
        <v>149</v>
      </c>
      <c r="E141" s="21" t="s">
        <v>230</v>
      </c>
      <c r="F141" s="21" t="s">
        <v>236</v>
      </c>
      <c r="G141" s="21" t="s">
        <v>157</v>
      </c>
      <c r="H141" s="21"/>
      <c r="I141" s="23"/>
      <c r="J141" s="23"/>
      <c r="K141" s="23" t="s">
        <v>117</v>
      </c>
      <c r="L141" s="23"/>
      <c r="M141" s="22" t="s">
        <v>264</v>
      </c>
      <c r="N141" s="23"/>
      <c r="O141" s="23"/>
      <c r="P141" s="23" t="s">
        <v>52</v>
      </c>
      <c r="Q141" s="24" t="s">
        <v>260</v>
      </c>
    </row>
    <row r="142" s="20" customFormat="1" customHeight="1" spans="1:17">
      <c r="A142" s="19">
        <v>141</v>
      </c>
      <c r="B142" s="21" t="s">
        <v>235</v>
      </c>
      <c r="C142" s="31">
        <f>SUBTOTAL(103,$B$1:B142)-1</f>
        <v>141</v>
      </c>
      <c r="D142" s="21" t="s">
        <v>149</v>
      </c>
      <c r="E142" s="21" t="s">
        <v>195</v>
      </c>
      <c r="F142" s="21" t="s">
        <v>236</v>
      </c>
      <c r="G142" s="21" t="s">
        <v>157</v>
      </c>
      <c r="H142" s="21"/>
      <c r="I142" s="23"/>
      <c r="J142" s="23"/>
      <c r="K142" s="23" t="s">
        <v>117</v>
      </c>
      <c r="L142" s="23"/>
      <c r="M142" s="22" t="s">
        <v>265</v>
      </c>
      <c r="N142" s="23"/>
      <c r="O142" s="23"/>
      <c r="P142" s="23" t="s">
        <v>52</v>
      </c>
      <c r="Q142" s="24" t="s">
        <v>265</v>
      </c>
    </row>
    <row r="143" s="20" customFormat="1" customHeight="1" spans="1:17">
      <c r="A143" s="19">
        <v>142</v>
      </c>
      <c r="B143" s="21" t="s">
        <v>235</v>
      </c>
      <c r="C143" s="31">
        <f>SUBTOTAL(103,$B$1:B143)-1</f>
        <v>142</v>
      </c>
      <c r="D143" s="26" t="s">
        <v>149</v>
      </c>
      <c r="E143" s="21" t="s">
        <v>195</v>
      </c>
      <c r="F143" s="21" t="s">
        <v>236</v>
      </c>
      <c r="G143" s="21" t="s">
        <v>157</v>
      </c>
      <c r="H143" s="21"/>
      <c r="I143" s="19"/>
      <c r="J143" s="19"/>
      <c r="K143" s="19" t="s">
        <v>117</v>
      </c>
      <c r="L143" s="19"/>
      <c r="M143" s="22" t="s">
        <v>260</v>
      </c>
      <c r="N143" s="23"/>
      <c r="O143" s="23"/>
      <c r="P143" s="23" t="s">
        <v>52</v>
      </c>
      <c r="Q143" s="24" t="s">
        <v>260</v>
      </c>
    </row>
    <row r="144" s="20" customFormat="1" customHeight="1" spans="1:17">
      <c r="A144" s="19">
        <v>143</v>
      </c>
      <c r="B144" s="21" t="s">
        <v>235</v>
      </c>
      <c r="C144" s="31">
        <f>SUBTOTAL(103,$B$1:B144)-1</f>
        <v>143</v>
      </c>
      <c r="D144" s="21" t="s">
        <v>149</v>
      </c>
      <c r="E144" s="21" t="s">
        <v>195</v>
      </c>
      <c r="F144" s="21" t="s">
        <v>236</v>
      </c>
      <c r="G144" s="21" t="s">
        <v>157</v>
      </c>
      <c r="H144" s="21"/>
      <c r="I144" s="23"/>
      <c r="J144" s="23"/>
      <c r="K144" s="23" t="s">
        <v>205</v>
      </c>
      <c r="L144" s="23"/>
      <c r="M144" s="22" t="s">
        <v>266</v>
      </c>
      <c r="N144" s="23"/>
      <c r="O144" s="23"/>
      <c r="P144" s="23" t="s">
        <v>52</v>
      </c>
      <c r="Q144" s="24" t="s">
        <v>266</v>
      </c>
    </row>
    <row r="145" s="20" customFormat="1" customHeight="1" spans="1:17">
      <c r="A145" s="19">
        <v>144</v>
      </c>
      <c r="B145" s="21" t="s">
        <v>235</v>
      </c>
      <c r="C145" s="31">
        <f>SUBTOTAL(103,$B$1:B145)-1</f>
        <v>144</v>
      </c>
      <c r="D145" s="21" t="s">
        <v>71</v>
      </c>
      <c r="E145" s="26" t="s">
        <v>18</v>
      </c>
      <c r="F145" s="21" t="s">
        <v>236</v>
      </c>
      <c r="G145" s="26" t="s">
        <v>20</v>
      </c>
      <c r="H145" s="21"/>
      <c r="I145" s="21"/>
      <c r="J145" s="21"/>
      <c r="K145" s="26"/>
      <c r="L145" s="26"/>
      <c r="M145" s="22" t="s">
        <v>267</v>
      </c>
      <c r="N145" s="23"/>
      <c r="O145" s="23"/>
      <c r="P145" s="23" t="s">
        <v>40</v>
      </c>
      <c r="Q145" s="24"/>
    </row>
    <row r="146" s="20" customFormat="1" customHeight="1" spans="1:17">
      <c r="A146" s="19">
        <v>145</v>
      </c>
      <c r="B146" s="21" t="s">
        <v>235</v>
      </c>
      <c r="C146" s="31">
        <f>SUBTOTAL(103,$B$1:B146)-1</f>
        <v>145</v>
      </c>
      <c r="D146" s="21" t="s">
        <v>71</v>
      </c>
      <c r="E146" s="21" t="s">
        <v>18</v>
      </c>
      <c r="F146" s="21" t="s">
        <v>236</v>
      </c>
      <c r="G146" s="26" t="s">
        <v>20</v>
      </c>
      <c r="H146" s="21"/>
      <c r="I146" s="21"/>
      <c r="J146" s="21"/>
      <c r="K146" s="26"/>
      <c r="L146" s="26"/>
      <c r="M146" s="22" t="s">
        <v>268</v>
      </c>
      <c r="N146" s="23"/>
      <c r="O146" s="23"/>
      <c r="P146" s="23" t="s">
        <v>40</v>
      </c>
      <c r="Q146" s="24"/>
    </row>
    <row r="147" s="20" customFormat="1" customHeight="1" spans="1:17">
      <c r="A147" s="19">
        <v>146</v>
      </c>
      <c r="B147" s="21" t="s">
        <v>235</v>
      </c>
      <c r="C147" s="31">
        <f>SUBTOTAL(103,$B$1:B147)-1</f>
        <v>146</v>
      </c>
      <c r="D147" s="26" t="s">
        <v>71</v>
      </c>
      <c r="E147" s="21" t="s">
        <v>18</v>
      </c>
      <c r="F147" s="21" t="s">
        <v>236</v>
      </c>
      <c r="G147" s="26" t="s">
        <v>20</v>
      </c>
      <c r="H147" s="21"/>
      <c r="I147" s="21"/>
      <c r="J147" s="21"/>
      <c r="K147" s="26" t="s">
        <v>162</v>
      </c>
      <c r="L147" s="26"/>
      <c r="M147" s="22" t="s">
        <v>269</v>
      </c>
      <c r="N147" s="23"/>
      <c r="O147" s="23"/>
      <c r="P147" s="23"/>
      <c r="Q147" s="24"/>
    </row>
    <row r="148" s="20" customFormat="1" customHeight="1" spans="1:17">
      <c r="A148" s="19">
        <v>147</v>
      </c>
      <c r="B148" s="21" t="s">
        <v>235</v>
      </c>
      <c r="C148" s="31">
        <f>SUBTOTAL(103,$B$1:B148)-1</f>
        <v>147</v>
      </c>
      <c r="D148" s="21" t="s">
        <v>71</v>
      </c>
      <c r="E148" s="21" t="s">
        <v>195</v>
      </c>
      <c r="F148" s="26" t="s">
        <v>236</v>
      </c>
      <c r="G148" s="26" t="s">
        <v>20</v>
      </c>
      <c r="H148" s="21"/>
      <c r="I148" s="21"/>
      <c r="J148" s="21"/>
      <c r="K148" s="26"/>
      <c r="L148" s="26"/>
      <c r="M148" s="22" t="s">
        <v>270</v>
      </c>
      <c r="N148" s="23"/>
      <c r="O148" s="23"/>
      <c r="P148" s="23" t="s">
        <v>52</v>
      </c>
      <c r="Q148" s="24" t="s">
        <v>265</v>
      </c>
    </row>
    <row r="149" s="20" customFormat="1" customHeight="1" spans="1:17">
      <c r="A149" s="19">
        <v>148</v>
      </c>
      <c r="B149" s="21" t="s">
        <v>235</v>
      </c>
      <c r="C149" s="31">
        <f>SUBTOTAL(103,$B$1:B149)-1</f>
        <v>148</v>
      </c>
      <c r="D149" s="21" t="s">
        <v>71</v>
      </c>
      <c r="E149" s="21" t="s">
        <v>195</v>
      </c>
      <c r="F149" s="26" t="s">
        <v>236</v>
      </c>
      <c r="G149" s="26" t="s">
        <v>20</v>
      </c>
      <c r="H149" s="21"/>
      <c r="I149" s="21"/>
      <c r="J149" s="21"/>
      <c r="K149" s="26"/>
      <c r="L149" s="26"/>
      <c r="M149" s="22" t="s">
        <v>271</v>
      </c>
      <c r="N149" s="23"/>
      <c r="O149" s="23"/>
      <c r="P149" s="23" t="s">
        <v>52</v>
      </c>
      <c r="Q149" s="24" t="s">
        <v>272</v>
      </c>
    </row>
    <row r="150" s="20" customFormat="1" customHeight="1" spans="1:17">
      <c r="A150" s="19">
        <v>149</v>
      </c>
      <c r="B150" s="21" t="s">
        <v>235</v>
      </c>
      <c r="C150" s="31">
        <f>SUBTOTAL(103,$B$1:B150)-1</f>
        <v>149</v>
      </c>
      <c r="D150" s="21" t="s">
        <v>71</v>
      </c>
      <c r="E150" s="21" t="s">
        <v>184</v>
      </c>
      <c r="F150" s="26" t="s">
        <v>236</v>
      </c>
      <c r="G150" s="26" t="s">
        <v>20</v>
      </c>
      <c r="H150" s="21"/>
      <c r="I150" s="21"/>
      <c r="J150" s="21"/>
      <c r="K150" s="26"/>
      <c r="L150" s="26"/>
      <c r="M150" s="22" t="s">
        <v>273</v>
      </c>
      <c r="N150" s="23"/>
      <c r="O150" s="23"/>
      <c r="P150" s="23" t="s">
        <v>52</v>
      </c>
      <c r="Q150" s="24" t="s">
        <v>261</v>
      </c>
    </row>
    <row r="151" s="20" customFormat="1" customHeight="1" spans="1:17">
      <c r="A151" s="19">
        <v>150</v>
      </c>
      <c r="B151" s="21" t="s">
        <v>235</v>
      </c>
      <c r="C151" s="31">
        <f>SUBTOTAL(103,$B$1:B151)-1</f>
        <v>150</v>
      </c>
      <c r="D151" s="21" t="s">
        <v>71</v>
      </c>
      <c r="E151" s="21" t="s">
        <v>230</v>
      </c>
      <c r="F151" s="21" t="s">
        <v>236</v>
      </c>
      <c r="G151" s="21" t="s">
        <v>157</v>
      </c>
      <c r="H151" s="21"/>
      <c r="I151" s="23"/>
      <c r="J151" s="23"/>
      <c r="K151" s="23" t="s">
        <v>117</v>
      </c>
      <c r="L151" s="23"/>
      <c r="M151" s="22" t="s">
        <v>274</v>
      </c>
      <c r="N151" s="23"/>
      <c r="O151" s="23"/>
      <c r="P151" s="23" t="s">
        <v>40</v>
      </c>
      <c r="Q151" s="24"/>
    </row>
    <row r="152" s="20" customFormat="1" customHeight="1" spans="1:17">
      <c r="A152" s="19">
        <v>151</v>
      </c>
      <c r="B152" s="21" t="s">
        <v>235</v>
      </c>
      <c r="C152" s="31">
        <f>SUBTOTAL(103,$B$1:B152)-1</f>
        <v>151</v>
      </c>
      <c r="D152" s="26" t="s">
        <v>71</v>
      </c>
      <c r="E152" s="21" t="s">
        <v>230</v>
      </c>
      <c r="F152" s="21" t="s">
        <v>236</v>
      </c>
      <c r="G152" s="26" t="s">
        <v>20</v>
      </c>
      <c r="H152" s="21"/>
      <c r="I152" s="23"/>
      <c r="J152" s="23"/>
      <c r="K152" s="26"/>
      <c r="L152" s="26"/>
      <c r="M152" s="22" t="s">
        <v>275</v>
      </c>
      <c r="N152" s="23"/>
      <c r="O152" s="23"/>
      <c r="P152" s="23" t="s">
        <v>52</v>
      </c>
      <c r="Q152" s="24" t="s">
        <v>276</v>
      </c>
    </row>
    <row r="153" s="20" customFormat="1" customHeight="1" spans="1:17">
      <c r="A153" s="19">
        <v>153</v>
      </c>
      <c r="B153" s="21" t="s">
        <v>277</v>
      </c>
      <c r="C153" s="31">
        <f>SUBTOTAL(103,$B$1:B153)-1</f>
        <v>152</v>
      </c>
      <c r="D153" s="21" t="s">
        <v>17</v>
      </c>
      <c r="E153" s="21" t="s">
        <v>184</v>
      </c>
      <c r="F153" s="26" t="s">
        <v>278</v>
      </c>
      <c r="G153" s="26" t="s">
        <v>279</v>
      </c>
      <c r="H153" s="21"/>
      <c r="I153" s="26" t="s">
        <v>33</v>
      </c>
      <c r="J153" s="21"/>
      <c r="K153" s="26" t="s">
        <v>97</v>
      </c>
      <c r="L153" s="26"/>
      <c r="M153" s="22" t="s">
        <v>280</v>
      </c>
      <c r="N153" s="33"/>
      <c r="O153" s="33"/>
      <c r="P153" s="23" t="s">
        <v>24</v>
      </c>
      <c r="Q153" s="24"/>
    </row>
    <row r="154" s="20" customFormat="1" customHeight="1" spans="1:17">
      <c r="A154" s="19">
        <v>154</v>
      </c>
      <c r="B154" s="21" t="s">
        <v>277</v>
      </c>
      <c r="C154" s="31">
        <f>SUBTOTAL(103,$B$1:B154)-1</f>
        <v>153</v>
      </c>
      <c r="D154" s="26" t="s">
        <v>17</v>
      </c>
      <c r="E154" s="21" t="s">
        <v>195</v>
      </c>
      <c r="F154" s="21" t="s">
        <v>278</v>
      </c>
      <c r="G154" s="26" t="s">
        <v>279</v>
      </c>
      <c r="H154" s="21"/>
      <c r="I154" s="26" t="s">
        <v>33</v>
      </c>
      <c r="J154" s="23"/>
      <c r="K154" s="26" t="s">
        <v>22</v>
      </c>
      <c r="L154" s="26"/>
      <c r="M154" s="22" t="s">
        <v>281</v>
      </c>
      <c r="N154" s="34"/>
      <c r="O154" s="34"/>
      <c r="P154" s="23" t="s">
        <v>24</v>
      </c>
      <c r="Q154" s="24" t="s">
        <v>281</v>
      </c>
    </row>
    <row r="155" s="20" customFormat="1" customHeight="1" spans="1:17">
      <c r="A155" s="19">
        <v>155</v>
      </c>
      <c r="B155" s="21" t="s">
        <v>277</v>
      </c>
      <c r="C155" s="31">
        <f>SUBTOTAL(103,$B$1:B155)-1</f>
        <v>154</v>
      </c>
      <c r="D155" s="26" t="s">
        <v>17</v>
      </c>
      <c r="E155" s="35" t="s">
        <v>184</v>
      </c>
      <c r="F155" s="21" t="s">
        <v>278</v>
      </c>
      <c r="G155" s="26" t="s">
        <v>279</v>
      </c>
      <c r="H155" s="21"/>
      <c r="I155" s="26" t="s">
        <v>33</v>
      </c>
      <c r="J155" s="23"/>
      <c r="K155" s="26" t="s">
        <v>282</v>
      </c>
      <c r="L155" s="26"/>
      <c r="M155" s="22" t="s">
        <v>283</v>
      </c>
      <c r="N155" s="34"/>
      <c r="O155" s="34"/>
      <c r="P155" s="23" t="s">
        <v>24</v>
      </c>
      <c r="Q155" s="24" t="s">
        <v>283</v>
      </c>
    </row>
    <row r="156" s="20" customFormat="1" customHeight="1" spans="1:17">
      <c r="A156" s="19">
        <v>156</v>
      </c>
      <c r="B156" s="21" t="s">
        <v>277</v>
      </c>
      <c r="C156" s="31">
        <f>SUBTOTAL(103,$B$1:B156)-1</f>
        <v>155</v>
      </c>
      <c r="D156" s="26" t="s">
        <v>17</v>
      </c>
      <c r="E156" s="21" t="s">
        <v>184</v>
      </c>
      <c r="F156" s="21" t="s">
        <v>278</v>
      </c>
      <c r="G156" s="26" t="s">
        <v>279</v>
      </c>
      <c r="H156" s="21"/>
      <c r="I156" s="21"/>
      <c r="J156" s="23"/>
      <c r="K156" s="26" t="s">
        <v>36</v>
      </c>
      <c r="L156" s="26"/>
      <c r="M156" s="22" t="s">
        <v>284</v>
      </c>
      <c r="N156" s="22"/>
      <c r="O156" s="22"/>
      <c r="P156" s="23" t="s">
        <v>24</v>
      </c>
      <c r="Q156" s="24" t="s">
        <v>256</v>
      </c>
    </row>
    <row r="157" s="20" customFormat="1" customHeight="1" spans="1:17">
      <c r="A157" s="19">
        <v>157</v>
      </c>
      <c r="B157" s="21" t="s">
        <v>277</v>
      </c>
      <c r="C157" s="31">
        <f>SUBTOTAL(103,$B$1:B157)-1</f>
        <v>156</v>
      </c>
      <c r="D157" s="21" t="s">
        <v>17</v>
      </c>
      <c r="E157" s="21" t="s">
        <v>184</v>
      </c>
      <c r="F157" s="21" t="s">
        <v>278</v>
      </c>
      <c r="G157" s="26" t="s">
        <v>279</v>
      </c>
      <c r="H157" s="21"/>
      <c r="I157" s="21"/>
      <c r="J157" s="23"/>
      <c r="K157" s="26" t="s">
        <v>112</v>
      </c>
      <c r="L157" s="26"/>
      <c r="M157" s="22" t="s">
        <v>285</v>
      </c>
      <c r="N157" s="23"/>
      <c r="O157" s="23"/>
      <c r="P157" s="23" t="s">
        <v>24</v>
      </c>
      <c r="Q157" s="38" t="s">
        <v>285</v>
      </c>
    </row>
    <row r="158" s="20" customFormat="1" customHeight="1" spans="1:17">
      <c r="A158" s="19">
        <v>158</v>
      </c>
      <c r="B158" s="21" t="s">
        <v>277</v>
      </c>
      <c r="C158" s="31">
        <f>SUBTOTAL(103,$B$1:B158)-1</f>
        <v>157</v>
      </c>
      <c r="D158" s="21" t="s">
        <v>38</v>
      </c>
      <c r="E158" s="21" t="s">
        <v>195</v>
      </c>
      <c r="F158" s="26" t="s">
        <v>278</v>
      </c>
      <c r="G158" s="26" t="s">
        <v>279</v>
      </c>
      <c r="H158" s="21"/>
      <c r="I158" s="21"/>
      <c r="J158" s="21"/>
      <c r="K158" s="26"/>
      <c r="L158" s="26"/>
      <c r="M158" s="22" t="s">
        <v>286</v>
      </c>
      <c r="N158" s="23"/>
      <c r="O158" s="23"/>
      <c r="P158" s="23" t="s">
        <v>40</v>
      </c>
      <c r="Q158" s="24"/>
    </row>
    <row r="159" s="20" customFormat="1" customHeight="1" spans="1:17">
      <c r="A159" s="19">
        <v>159</v>
      </c>
      <c r="B159" s="21" t="s">
        <v>287</v>
      </c>
      <c r="C159" s="31">
        <f>SUBTOTAL(103,$B$1:B159)-1</f>
        <v>158</v>
      </c>
      <c r="D159" s="21" t="s">
        <v>38</v>
      </c>
      <c r="E159" s="35" t="s">
        <v>195</v>
      </c>
      <c r="F159" s="21" t="s">
        <v>288</v>
      </c>
      <c r="G159" s="26" t="s">
        <v>20</v>
      </c>
      <c r="H159" s="21"/>
      <c r="I159" s="23"/>
      <c r="J159" s="23"/>
      <c r="K159" s="26"/>
      <c r="L159" s="26"/>
      <c r="M159" s="22" t="s">
        <v>289</v>
      </c>
      <c r="N159" s="22"/>
      <c r="O159" s="22"/>
      <c r="P159" s="23" t="s">
        <v>75</v>
      </c>
      <c r="Q159" s="38" t="s">
        <v>289</v>
      </c>
    </row>
    <row r="160" s="20" customFormat="1" customHeight="1" spans="1:17">
      <c r="A160" s="19">
        <v>160</v>
      </c>
      <c r="B160" s="21" t="s">
        <v>277</v>
      </c>
      <c r="C160" s="31">
        <f>SUBTOTAL(103,$B$1:B160)-1</f>
        <v>159</v>
      </c>
      <c r="D160" s="21" t="s">
        <v>38</v>
      </c>
      <c r="E160" s="35" t="s">
        <v>195</v>
      </c>
      <c r="F160" s="21" t="s">
        <v>278</v>
      </c>
      <c r="G160" s="26" t="s">
        <v>279</v>
      </c>
      <c r="H160" s="21"/>
      <c r="I160" s="23"/>
      <c r="J160" s="23"/>
      <c r="K160" s="26"/>
      <c r="L160" s="26"/>
      <c r="M160" s="22" t="s">
        <v>290</v>
      </c>
      <c r="N160" s="23"/>
      <c r="O160" s="23"/>
      <c r="P160" s="23" t="s">
        <v>40</v>
      </c>
      <c r="Q160" s="38"/>
    </row>
    <row r="161" s="20" customFormat="1" customHeight="1" spans="1:17">
      <c r="A161" s="19">
        <v>161</v>
      </c>
      <c r="B161" s="21" t="s">
        <v>277</v>
      </c>
      <c r="C161" s="31">
        <f>SUBTOTAL(103,$B$1:B161)-1</f>
        <v>160</v>
      </c>
      <c r="D161" s="21" t="s">
        <v>149</v>
      </c>
      <c r="E161" s="21" t="s">
        <v>184</v>
      </c>
      <c r="F161" s="26" t="s">
        <v>278</v>
      </c>
      <c r="G161" s="26" t="s">
        <v>279</v>
      </c>
      <c r="H161" s="21"/>
      <c r="I161" s="21"/>
      <c r="J161" s="21"/>
      <c r="K161" s="26"/>
      <c r="L161" s="26"/>
      <c r="M161" s="22" t="s">
        <v>291</v>
      </c>
      <c r="N161" s="23"/>
      <c r="O161" s="23"/>
      <c r="P161" s="23" t="s">
        <v>52</v>
      </c>
      <c r="Q161" s="24" t="s">
        <v>292</v>
      </c>
    </row>
    <row r="162" s="20" customFormat="1" customHeight="1" spans="1:17">
      <c r="A162" s="19">
        <v>162</v>
      </c>
      <c r="B162" s="21" t="s">
        <v>277</v>
      </c>
      <c r="C162" s="31">
        <f>SUBTOTAL(103,$B$1:B162)-1</f>
        <v>161</v>
      </c>
      <c r="D162" s="21" t="s">
        <v>149</v>
      </c>
      <c r="E162" s="21" t="s">
        <v>195</v>
      </c>
      <c r="F162" s="21" t="s">
        <v>278</v>
      </c>
      <c r="G162" s="26" t="s">
        <v>279</v>
      </c>
      <c r="H162" s="21"/>
      <c r="I162" s="23"/>
      <c r="J162" s="23"/>
      <c r="K162" s="26"/>
      <c r="L162" s="26"/>
      <c r="M162" s="22" t="s">
        <v>293</v>
      </c>
      <c r="N162" s="23"/>
      <c r="O162" s="23"/>
      <c r="P162" s="23" t="s">
        <v>52</v>
      </c>
      <c r="Q162" s="24" t="s">
        <v>294</v>
      </c>
    </row>
    <row r="163" s="20" customFormat="1" customHeight="1" spans="1:17">
      <c r="A163" s="19">
        <v>163</v>
      </c>
      <c r="B163" s="21" t="s">
        <v>277</v>
      </c>
      <c r="C163" s="31">
        <f>SUBTOTAL(103,$B$1:B163)-1</f>
        <v>162</v>
      </c>
      <c r="D163" s="26" t="s">
        <v>149</v>
      </c>
      <c r="E163" s="21" t="s">
        <v>195</v>
      </c>
      <c r="F163" s="21" t="s">
        <v>278</v>
      </c>
      <c r="G163" s="26" t="s">
        <v>279</v>
      </c>
      <c r="H163" s="21"/>
      <c r="I163" s="23"/>
      <c r="J163" s="23"/>
      <c r="K163" s="26"/>
      <c r="L163" s="26"/>
      <c r="M163" s="22" t="s">
        <v>295</v>
      </c>
      <c r="N163" s="22"/>
      <c r="O163" s="22"/>
      <c r="P163" s="23" t="s">
        <v>52</v>
      </c>
      <c r="Q163" s="24" t="s">
        <v>296</v>
      </c>
    </row>
    <row r="164" s="20" customFormat="1" customHeight="1" spans="1:17">
      <c r="A164" s="19">
        <v>164</v>
      </c>
      <c r="B164" s="21" t="s">
        <v>277</v>
      </c>
      <c r="C164" s="31">
        <f>SUBTOTAL(103,$B$1:B164)-1</f>
        <v>163</v>
      </c>
      <c r="D164" s="21" t="s">
        <v>62</v>
      </c>
      <c r="E164" s="21" t="s">
        <v>230</v>
      </c>
      <c r="F164" s="26" t="s">
        <v>278</v>
      </c>
      <c r="G164" s="26" t="s">
        <v>279</v>
      </c>
      <c r="H164" s="21"/>
      <c r="I164" s="21"/>
      <c r="J164" s="21"/>
      <c r="K164" s="26"/>
      <c r="L164" s="26"/>
      <c r="M164" s="22" t="s">
        <v>297</v>
      </c>
      <c r="N164" s="23"/>
      <c r="O164" s="23"/>
      <c r="P164" s="23" t="s">
        <v>52</v>
      </c>
      <c r="Q164" s="24" t="s">
        <v>200</v>
      </c>
    </row>
    <row r="165" s="20" customFormat="1" customHeight="1" spans="1:17">
      <c r="A165" s="19">
        <v>165</v>
      </c>
      <c r="B165" s="21" t="s">
        <v>277</v>
      </c>
      <c r="C165" s="31">
        <f>SUBTOTAL(103,$B$1:B165)-1</f>
        <v>164</v>
      </c>
      <c r="D165" s="21" t="s">
        <v>62</v>
      </c>
      <c r="E165" s="21" t="s">
        <v>230</v>
      </c>
      <c r="F165" s="26" t="s">
        <v>278</v>
      </c>
      <c r="G165" s="26" t="s">
        <v>279</v>
      </c>
      <c r="H165" s="21"/>
      <c r="I165" s="21"/>
      <c r="J165" s="21"/>
      <c r="K165" s="26"/>
      <c r="L165" s="26"/>
      <c r="M165" s="22" t="s">
        <v>298</v>
      </c>
      <c r="N165" s="23"/>
      <c r="O165" s="23"/>
      <c r="P165" s="23" t="s">
        <v>52</v>
      </c>
      <c r="Q165" s="24" t="s">
        <v>200</v>
      </c>
    </row>
    <row r="166" s="20" customFormat="1" customHeight="1" spans="1:17">
      <c r="A166" s="19">
        <v>166</v>
      </c>
      <c r="B166" s="21" t="s">
        <v>277</v>
      </c>
      <c r="C166" s="31">
        <f>SUBTOTAL(103,$B$1:B166)-1</f>
        <v>165</v>
      </c>
      <c r="D166" s="21" t="s">
        <v>71</v>
      </c>
      <c r="E166" s="21" t="s">
        <v>195</v>
      </c>
      <c r="F166" s="26" t="s">
        <v>278</v>
      </c>
      <c r="G166" s="26" t="s">
        <v>279</v>
      </c>
      <c r="H166" s="21"/>
      <c r="I166" s="21"/>
      <c r="J166" s="21"/>
      <c r="K166" s="26"/>
      <c r="L166" s="26"/>
      <c r="M166" s="22" t="s">
        <v>299</v>
      </c>
      <c r="N166" s="23"/>
      <c r="O166" s="23"/>
      <c r="P166" s="23" t="s">
        <v>52</v>
      </c>
      <c r="Q166" s="24" t="s">
        <v>292</v>
      </c>
    </row>
    <row r="167" s="20" customFormat="1" customHeight="1" spans="1:17">
      <c r="A167" s="19">
        <v>167</v>
      </c>
      <c r="B167" s="21" t="s">
        <v>287</v>
      </c>
      <c r="C167" s="31">
        <f>SUBTOTAL(103,$B$1:B167)-1</f>
        <v>166</v>
      </c>
      <c r="D167" s="21" t="s">
        <v>71</v>
      </c>
      <c r="E167" s="21" t="s">
        <v>195</v>
      </c>
      <c r="F167" s="26" t="s">
        <v>288</v>
      </c>
      <c r="G167" s="26" t="s">
        <v>20</v>
      </c>
      <c r="H167" s="21"/>
      <c r="I167" s="21"/>
      <c r="J167" s="21"/>
      <c r="K167" s="26"/>
      <c r="L167" s="26"/>
      <c r="M167" s="22" t="s">
        <v>300</v>
      </c>
      <c r="N167" s="23"/>
      <c r="O167" s="23"/>
      <c r="P167" s="23" t="s">
        <v>52</v>
      </c>
      <c r="Q167" s="24" t="s">
        <v>296</v>
      </c>
    </row>
    <row r="168" s="20" customFormat="1" customHeight="1" spans="1:17">
      <c r="A168" s="19">
        <v>168</v>
      </c>
      <c r="B168" s="21" t="s">
        <v>287</v>
      </c>
      <c r="C168" s="31">
        <f>SUBTOTAL(103,$B$1:B168)-1</f>
        <v>167</v>
      </c>
      <c r="D168" s="21" t="s">
        <v>71</v>
      </c>
      <c r="E168" s="21" t="s">
        <v>230</v>
      </c>
      <c r="F168" s="26" t="s">
        <v>288</v>
      </c>
      <c r="G168" s="26" t="s">
        <v>20</v>
      </c>
      <c r="H168" s="21"/>
      <c r="I168" s="21"/>
      <c r="J168" s="21"/>
      <c r="K168" s="26"/>
      <c r="L168" s="26"/>
      <c r="M168" s="22" t="s">
        <v>301</v>
      </c>
      <c r="N168" s="23"/>
      <c r="O168" s="23"/>
      <c r="P168" s="23" t="s">
        <v>52</v>
      </c>
      <c r="Q168" s="24" t="s">
        <v>296</v>
      </c>
    </row>
    <row r="169" s="20" customFormat="1" customHeight="1" spans="1:17">
      <c r="A169" s="19">
        <v>169</v>
      </c>
      <c r="B169" s="21" t="s">
        <v>287</v>
      </c>
      <c r="C169" s="31">
        <f>SUBTOTAL(103,$B$1:B169)-1</f>
        <v>168</v>
      </c>
      <c r="D169" s="21" t="s">
        <v>71</v>
      </c>
      <c r="E169" s="21" t="s">
        <v>195</v>
      </c>
      <c r="F169" s="26" t="s">
        <v>288</v>
      </c>
      <c r="G169" s="26" t="s">
        <v>20</v>
      </c>
      <c r="H169" s="21"/>
      <c r="I169" s="21"/>
      <c r="J169" s="21"/>
      <c r="K169" s="26"/>
      <c r="L169" s="26"/>
      <c r="M169" s="22" t="s">
        <v>302</v>
      </c>
      <c r="N169" s="23"/>
      <c r="O169" s="23"/>
      <c r="P169" s="23" t="s">
        <v>52</v>
      </c>
      <c r="Q169" s="24" t="s">
        <v>296</v>
      </c>
    </row>
    <row r="170" s="20" customFormat="1" customHeight="1" spans="1:17">
      <c r="A170" s="19">
        <v>170</v>
      </c>
      <c r="B170" s="21" t="s">
        <v>277</v>
      </c>
      <c r="C170" s="31">
        <f>SUBTOTAL(103,$B$1:B170)-1</f>
        <v>169</v>
      </c>
      <c r="D170" s="21" t="s">
        <v>71</v>
      </c>
      <c r="E170" s="21" t="s">
        <v>195</v>
      </c>
      <c r="F170" s="21" t="s">
        <v>278</v>
      </c>
      <c r="G170" s="26" t="s">
        <v>279</v>
      </c>
      <c r="H170" s="21"/>
      <c r="I170" s="23"/>
      <c r="J170" s="23"/>
      <c r="K170" s="26"/>
      <c r="L170" s="26"/>
      <c r="M170" s="22" t="s">
        <v>303</v>
      </c>
      <c r="N170" s="23"/>
      <c r="O170" s="23"/>
      <c r="P170" s="23" t="s">
        <v>52</v>
      </c>
      <c r="Q170" s="24" t="s">
        <v>294</v>
      </c>
    </row>
    <row r="171" s="20" customFormat="1" customHeight="1" spans="1:17">
      <c r="A171" s="19">
        <v>171</v>
      </c>
      <c r="B171" s="21" t="s">
        <v>287</v>
      </c>
      <c r="C171" s="31">
        <f>SUBTOTAL(103,$B$1:B171)-1</f>
        <v>170</v>
      </c>
      <c r="D171" s="21" t="s">
        <v>71</v>
      </c>
      <c r="E171" s="21" t="s">
        <v>230</v>
      </c>
      <c r="F171" s="21" t="s">
        <v>288</v>
      </c>
      <c r="G171" s="21" t="s">
        <v>157</v>
      </c>
      <c r="H171" s="21"/>
      <c r="I171" s="23"/>
      <c r="J171" s="23"/>
      <c r="K171" s="23" t="s">
        <v>69</v>
      </c>
      <c r="L171" s="23"/>
      <c r="M171" s="22" t="s">
        <v>304</v>
      </c>
      <c r="N171" s="23"/>
      <c r="O171" s="23"/>
      <c r="P171" s="23" t="s">
        <v>40</v>
      </c>
      <c r="Q171" s="38" t="s">
        <v>249</v>
      </c>
    </row>
    <row r="172" s="20" customFormat="1" customHeight="1" spans="1:17">
      <c r="A172" s="19">
        <v>172</v>
      </c>
      <c r="B172" s="21" t="s">
        <v>277</v>
      </c>
      <c r="C172" s="31">
        <f>SUBTOTAL(103,$B$1:B172)-1</f>
        <v>171</v>
      </c>
      <c r="D172" s="26" t="s">
        <v>77</v>
      </c>
      <c r="E172" s="21" t="s">
        <v>184</v>
      </c>
      <c r="F172" s="26" t="s">
        <v>278</v>
      </c>
      <c r="G172" s="26" t="s">
        <v>279</v>
      </c>
      <c r="H172" s="21"/>
      <c r="I172" s="21"/>
      <c r="J172" s="21"/>
      <c r="K172" s="26" t="s">
        <v>305</v>
      </c>
      <c r="L172" s="26"/>
      <c r="M172" s="22" t="s">
        <v>306</v>
      </c>
      <c r="N172" s="23"/>
      <c r="O172" s="23"/>
      <c r="P172" s="23" t="s">
        <v>40</v>
      </c>
      <c r="Q172" s="24"/>
    </row>
    <row r="173" s="20" customFormat="1" customHeight="1" spans="1:17">
      <c r="A173" s="19">
        <v>173</v>
      </c>
      <c r="B173" s="21" t="s">
        <v>277</v>
      </c>
      <c r="C173" s="31">
        <f>SUBTOTAL(103,$B$1:B173)-1</f>
        <v>172</v>
      </c>
      <c r="D173" s="26" t="s">
        <v>77</v>
      </c>
      <c r="E173" s="21" t="s">
        <v>184</v>
      </c>
      <c r="F173" s="26" t="s">
        <v>278</v>
      </c>
      <c r="G173" s="26" t="s">
        <v>279</v>
      </c>
      <c r="H173" s="21"/>
      <c r="I173" s="21"/>
      <c r="J173" s="21"/>
      <c r="K173" s="26" t="s">
        <v>20</v>
      </c>
      <c r="L173" s="26"/>
      <c r="M173" s="22" t="s">
        <v>307</v>
      </c>
      <c r="N173" s="23"/>
      <c r="O173" s="23"/>
      <c r="P173" s="23" t="s">
        <v>84</v>
      </c>
      <c r="Q173" s="24" t="s">
        <v>308</v>
      </c>
    </row>
    <row r="174" s="20" customFormat="1" customHeight="1" spans="1:17">
      <c r="A174" s="19">
        <v>174</v>
      </c>
      <c r="B174" s="21" t="s">
        <v>287</v>
      </c>
      <c r="C174" s="31">
        <f>SUBTOTAL(103,$B$1:B174)-1</f>
        <v>173</v>
      </c>
      <c r="D174" s="26" t="s">
        <v>77</v>
      </c>
      <c r="E174" s="21" t="s">
        <v>195</v>
      </c>
      <c r="F174" s="26" t="s">
        <v>288</v>
      </c>
      <c r="G174" s="26" t="s">
        <v>20</v>
      </c>
      <c r="H174" s="21"/>
      <c r="I174" s="21"/>
      <c r="J174" s="21"/>
      <c r="K174" s="26" t="s">
        <v>105</v>
      </c>
      <c r="L174" s="26"/>
      <c r="M174" s="22" t="s">
        <v>309</v>
      </c>
      <c r="N174" s="23"/>
      <c r="O174" s="23"/>
      <c r="P174" s="23" t="s">
        <v>84</v>
      </c>
      <c r="Q174" s="24" t="s">
        <v>308</v>
      </c>
    </row>
    <row r="175" s="20" customFormat="1" customHeight="1" spans="1:17">
      <c r="A175" s="19">
        <v>175</v>
      </c>
      <c r="B175" s="21" t="s">
        <v>287</v>
      </c>
      <c r="C175" s="31">
        <f>SUBTOTAL(103,$B$1:B175)-1</f>
        <v>174</v>
      </c>
      <c r="D175" s="26" t="s">
        <v>77</v>
      </c>
      <c r="E175" s="21" t="s">
        <v>184</v>
      </c>
      <c r="F175" s="21" t="s">
        <v>288</v>
      </c>
      <c r="G175" s="21" t="s">
        <v>157</v>
      </c>
      <c r="H175" s="21"/>
      <c r="I175" s="19"/>
      <c r="J175" s="19"/>
      <c r="K175" s="19" t="s">
        <v>117</v>
      </c>
      <c r="L175" s="19"/>
      <c r="M175" s="22" t="s">
        <v>310</v>
      </c>
      <c r="N175" s="23"/>
      <c r="O175" s="23"/>
      <c r="P175" s="23" t="s">
        <v>84</v>
      </c>
      <c r="Q175" s="24"/>
    </row>
    <row r="176" s="20" customFormat="1" customHeight="1" spans="1:17">
      <c r="A176" s="19">
        <v>176</v>
      </c>
      <c r="B176" s="21" t="s">
        <v>287</v>
      </c>
      <c r="C176" s="31">
        <f>SUBTOTAL(103,$B$1:B176)-1</f>
        <v>175</v>
      </c>
      <c r="D176" s="26" t="s">
        <v>77</v>
      </c>
      <c r="E176" s="21" t="s">
        <v>184</v>
      </c>
      <c r="F176" s="21" t="s">
        <v>288</v>
      </c>
      <c r="G176" s="21" t="s">
        <v>157</v>
      </c>
      <c r="H176" s="21"/>
      <c r="I176" s="19"/>
      <c r="J176" s="19"/>
      <c r="K176" s="19" t="s">
        <v>69</v>
      </c>
      <c r="L176" s="19"/>
      <c r="M176" s="22" t="s">
        <v>308</v>
      </c>
      <c r="N176" s="23"/>
      <c r="O176" s="23"/>
      <c r="P176" s="23" t="s">
        <v>84</v>
      </c>
      <c r="Q176" s="24" t="s">
        <v>308</v>
      </c>
    </row>
    <row r="177" s="20" customFormat="1" customHeight="1" spans="1:17">
      <c r="A177" s="19">
        <v>177</v>
      </c>
      <c r="B177" s="21" t="s">
        <v>287</v>
      </c>
      <c r="C177" s="31">
        <f>SUBTOTAL(103,$B$1:B177)-1</f>
        <v>176</v>
      </c>
      <c r="D177" s="26" t="s">
        <v>77</v>
      </c>
      <c r="E177" s="35" t="s">
        <v>184</v>
      </c>
      <c r="F177" s="35" t="s">
        <v>288</v>
      </c>
      <c r="G177" s="35" t="s">
        <v>157</v>
      </c>
      <c r="H177" s="21"/>
      <c r="I177" s="43"/>
      <c r="J177" s="43"/>
      <c r="K177" s="43" t="s">
        <v>205</v>
      </c>
      <c r="L177" s="43"/>
      <c r="M177" s="22" t="s">
        <v>311</v>
      </c>
      <c r="N177" s="22"/>
      <c r="O177" s="22"/>
      <c r="P177" s="23" t="s">
        <v>75</v>
      </c>
      <c r="Q177" s="38" t="s">
        <v>311</v>
      </c>
    </row>
    <row r="178" s="20" customFormat="1" customHeight="1" spans="1:17">
      <c r="A178" s="19">
        <v>178</v>
      </c>
      <c r="B178" s="21" t="s">
        <v>287</v>
      </c>
      <c r="C178" s="31">
        <f>SUBTOTAL(103,$B$1:B178)-1</f>
        <v>177</v>
      </c>
      <c r="D178" s="21" t="s">
        <v>77</v>
      </c>
      <c r="E178" s="26" t="s">
        <v>184</v>
      </c>
      <c r="F178" s="26" t="s">
        <v>288</v>
      </c>
      <c r="G178" s="26" t="s">
        <v>157</v>
      </c>
      <c r="H178" s="21"/>
      <c r="I178" s="22"/>
      <c r="J178" s="22"/>
      <c r="K178" s="22" t="s">
        <v>115</v>
      </c>
      <c r="L178" s="22"/>
      <c r="M178" s="22" t="s">
        <v>312</v>
      </c>
      <c r="N178" s="22"/>
      <c r="O178" s="22"/>
      <c r="P178" s="23" t="s">
        <v>84</v>
      </c>
      <c r="Q178" s="24"/>
    </row>
    <row r="179" s="20" customFormat="1" customHeight="1" spans="1:17">
      <c r="A179" s="19">
        <v>179</v>
      </c>
      <c r="B179" s="21" t="s">
        <v>277</v>
      </c>
      <c r="C179" s="31">
        <f>SUBTOTAL(103,$B$1:B179)-1</f>
        <v>178</v>
      </c>
      <c r="D179" s="21" t="s">
        <v>17</v>
      </c>
      <c r="E179" s="21" t="s">
        <v>184</v>
      </c>
      <c r="F179" s="26" t="s">
        <v>278</v>
      </c>
      <c r="G179" s="26" t="s">
        <v>279</v>
      </c>
      <c r="H179" s="21"/>
      <c r="I179" s="21"/>
      <c r="J179" s="21"/>
      <c r="K179" s="26" t="s">
        <v>305</v>
      </c>
      <c r="L179" s="26"/>
      <c r="M179" s="22" t="s">
        <v>313</v>
      </c>
      <c r="N179" s="23"/>
      <c r="O179" s="23"/>
      <c r="P179" s="23" t="s">
        <v>24</v>
      </c>
      <c r="Q179" s="24"/>
    </row>
    <row r="180" s="20" customFormat="1" customHeight="1" spans="1:17">
      <c r="A180" s="19">
        <v>179</v>
      </c>
      <c r="B180" s="21" t="s">
        <v>314</v>
      </c>
      <c r="C180" s="31">
        <f>SUBTOTAL(103,$B$1:B180)-1</f>
        <v>179</v>
      </c>
      <c r="D180" s="26" t="s">
        <v>17</v>
      </c>
      <c r="E180" s="26" t="s">
        <v>230</v>
      </c>
      <c r="F180" s="21" t="s">
        <v>315</v>
      </c>
      <c r="G180" s="21"/>
      <c r="H180" s="21"/>
      <c r="I180" s="26" t="s">
        <v>26</v>
      </c>
      <c r="J180" s="26" t="s">
        <v>316</v>
      </c>
      <c r="K180" s="22" t="s">
        <v>317</v>
      </c>
      <c r="L180" s="22"/>
      <c r="M180" s="22" t="s">
        <v>318</v>
      </c>
      <c r="N180" s="23"/>
      <c r="O180" s="23"/>
      <c r="P180" s="22" t="s">
        <v>24</v>
      </c>
      <c r="Q180" s="24"/>
    </row>
    <row r="181" s="20" customFormat="1" customHeight="1" spans="1:17">
      <c r="A181" s="19">
        <v>180</v>
      </c>
      <c r="B181" s="21" t="s">
        <v>314</v>
      </c>
      <c r="C181" s="31">
        <f>SUBTOTAL(103,$B$1:B181)-1</f>
        <v>180</v>
      </c>
      <c r="D181" s="26" t="s">
        <v>17</v>
      </c>
      <c r="E181" s="21" t="s">
        <v>184</v>
      </c>
      <c r="F181" s="21" t="s">
        <v>315</v>
      </c>
      <c r="G181" s="21"/>
      <c r="H181" s="21"/>
      <c r="I181" s="26" t="s">
        <v>319</v>
      </c>
      <c r="J181" s="26" t="s">
        <v>320</v>
      </c>
      <c r="K181" s="22" t="s">
        <v>317</v>
      </c>
      <c r="L181" s="22"/>
      <c r="M181" s="22" t="s">
        <v>321</v>
      </c>
      <c r="N181" s="22"/>
      <c r="O181" s="22"/>
      <c r="P181" s="22" t="s">
        <v>24</v>
      </c>
      <c r="Q181" s="38" t="s">
        <v>256</v>
      </c>
    </row>
    <row r="182" s="20" customFormat="1" customHeight="1" spans="1:17">
      <c r="A182" s="19">
        <v>181</v>
      </c>
      <c r="B182" s="21" t="s">
        <v>314</v>
      </c>
      <c r="C182" s="31">
        <f>SUBTOTAL(103,$B$1:B182)-1</f>
        <v>181</v>
      </c>
      <c r="D182" s="26" t="s">
        <v>322</v>
      </c>
      <c r="E182" s="26"/>
      <c r="F182" s="21" t="s">
        <v>315</v>
      </c>
      <c r="G182" s="26" t="s">
        <v>323</v>
      </c>
      <c r="H182" s="21"/>
      <c r="I182" s="26" t="s">
        <v>324</v>
      </c>
      <c r="J182" s="26" t="s">
        <v>325</v>
      </c>
      <c r="K182" s="22" t="s">
        <v>317</v>
      </c>
      <c r="L182" s="22"/>
      <c r="M182" s="22" t="s">
        <v>326</v>
      </c>
      <c r="N182" s="22"/>
      <c r="O182" s="22"/>
      <c r="P182" s="26" t="s">
        <v>327</v>
      </c>
      <c r="Q182" s="24"/>
    </row>
    <row r="183" s="20" customFormat="1" customHeight="1" spans="1:17">
      <c r="A183" s="19">
        <v>182</v>
      </c>
      <c r="B183" s="21" t="s">
        <v>314</v>
      </c>
      <c r="C183" s="31">
        <f>SUBTOTAL(103,$B$1:B183)-1</f>
        <v>182</v>
      </c>
      <c r="D183" s="26" t="s">
        <v>322</v>
      </c>
      <c r="E183" s="26"/>
      <c r="F183" s="21" t="s">
        <v>315</v>
      </c>
      <c r="G183" s="26" t="s">
        <v>323</v>
      </c>
      <c r="H183" s="21"/>
      <c r="I183" s="26" t="s">
        <v>324</v>
      </c>
      <c r="J183" s="26" t="s">
        <v>33</v>
      </c>
      <c r="K183" s="22" t="s">
        <v>317</v>
      </c>
      <c r="L183" s="22"/>
      <c r="M183" s="22" t="s">
        <v>328</v>
      </c>
      <c r="N183" s="22"/>
      <c r="O183" s="22"/>
      <c r="P183" s="26" t="s">
        <v>329</v>
      </c>
      <c r="Q183" s="24"/>
    </row>
    <row r="184" s="20" customFormat="1" customHeight="1" spans="1:17">
      <c r="A184" s="19">
        <v>183</v>
      </c>
      <c r="B184" s="26" t="s">
        <v>314</v>
      </c>
      <c r="C184" s="31">
        <f>SUBTOTAL(103,$B$1:B184)-1</f>
        <v>183</v>
      </c>
      <c r="D184" s="21" t="s">
        <v>38</v>
      </c>
      <c r="E184" s="26" t="s">
        <v>195</v>
      </c>
      <c r="F184" s="21" t="s">
        <v>315</v>
      </c>
      <c r="G184" s="21"/>
      <c r="H184" s="21"/>
      <c r="I184" s="26" t="s">
        <v>330</v>
      </c>
      <c r="J184" s="26" t="s">
        <v>331</v>
      </c>
      <c r="K184" s="22" t="s">
        <v>317</v>
      </c>
      <c r="L184" s="22"/>
      <c r="M184" s="22" t="s">
        <v>332</v>
      </c>
      <c r="N184" s="22"/>
      <c r="O184" s="22"/>
      <c r="P184" s="23" t="s">
        <v>40</v>
      </c>
      <c r="Q184" s="24"/>
    </row>
    <row r="185" s="20" customFormat="1" customHeight="1" spans="1:17">
      <c r="A185" s="19">
        <v>184</v>
      </c>
      <c r="B185" s="21" t="s">
        <v>314</v>
      </c>
      <c r="C185" s="31">
        <f>SUBTOTAL(103,$B$1:B185)-1</f>
        <v>184</v>
      </c>
      <c r="D185" s="26" t="s">
        <v>38</v>
      </c>
      <c r="E185" s="21" t="s">
        <v>184</v>
      </c>
      <c r="F185" s="21" t="s">
        <v>315</v>
      </c>
      <c r="G185" s="21"/>
      <c r="H185" s="21"/>
      <c r="I185" s="26" t="s">
        <v>333</v>
      </c>
      <c r="J185" s="26" t="s">
        <v>334</v>
      </c>
      <c r="K185" s="22" t="s">
        <v>317</v>
      </c>
      <c r="L185" s="22"/>
      <c r="M185" s="22" t="s">
        <v>335</v>
      </c>
      <c r="N185" s="22"/>
      <c r="O185" s="22"/>
      <c r="P185" s="22" t="s">
        <v>52</v>
      </c>
      <c r="Q185" s="24"/>
    </row>
    <row r="186" s="20" customFormat="1" customHeight="1" spans="1:17">
      <c r="A186" s="19">
        <v>185</v>
      </c>
      <c r="B186" s="21" t="s">
        <v>314</v>
      </c>
      <c r="C186" s="31">
        <f>SUBTOTAL(103,$B$1:B186)-1</f>
        <v>185</v>
      </c>
      <c r="D186" s="26" t="s">
        <v>38</v>
      </c>
      <c r="E186" s="21" t="s">
        <v>184</v>
      </c>
      <c r="F186" s="21" t="s">
        <v>315</v>
      </c>
      <c r="G186" s="21"/>
      <c r="H186" s="21"/>
      <c r="I186" s="26" t="s">
        <v>336</v>
      </c>
      <c r="J186" s="26" t="s">
        <v>330</v>
      </c>
      <c r="K186" s="22" t="s">
        <v>317</v>
      </c>
      <c r="L186" s="22"/>
      <c r="M186" s="22" t="s">
        <v>337</v>
      </c>
      <c r="N186" s="23"/>
      <c r="O186" s="23"/>
      <c r="P186" s="23" t="s">
        <v>40</v>
      </c>
      <c r="Q186" s="38" t="s">
        <v>140</v>
      </c>
    </row>
    <row r="187" s="20" customFormat="1" customHeight="1" spans="1:17">
      <c r="A187" s="19">
        <v>186</v>
      </c>
      <c r="B187" s="21" t="s">
        <v>314</v>
      </c>
      <c r="C187" s="31">
        <f>SUBTOTAL(103,$B$1:B187)-1</f>
        <v>186</v>
      </c>
      <c r="D187" s="26" t="s">
        <v>38</v>
      </c>
      <c r="E187" s="21" t="s">
        <v>184</v>
      </c>
      <c r="F187" s="21" t="s">
        <v>315</v>
      </c>
      <c r="G187" s="21"/>
      <c r="H187" s="21"/>
      <c r="I187" s="26" t="s">
        <v>330</v>
      </c>
      <c r="J187" s="26" t="s">
        <v>331</v>
      </c>
      <c r="K187" s="22" t="s">
        <v>317</v>
      </c>
      <c r="L187" s="22"/>
      <c r="M187" s="22" t="s">
        <v>338</v>
      </c>
      <c r="N187" s="22"/>
      <c r="O187" s="22"/>
      <c r="P187" s="23" t="s">
        <v>40</v>
      </c>
      <c r="Q187" s="38" t="s">
        <v>261</v>
      </c>
    </row>
    <row r="188" s="20" customFormat="1" customHeight="1" spans="1:17">
      <c r="A188" s="19">
        <v>187</v>
      </c>
      <c r="B188" s="21" t="s">
        <v>314</v>
      </c>
      <c r="C188" s="31">
        <f>SUBTOTAL(103,$B$1:B188)-1</f>
        <v>187</v>
      </c>
      <c r="D188" s="26" t="s">
        <v>149</v>
      </c>
      <c r="E188" s="26" t="s">
        <v>195</v>
      </c>
      <c r="F188" s="21" t="s">
        <v>315</v>
      </c>
      <c r="G188" s="21"/>
      <c r="H188" s="21"/>
      <c r="I188" s="26" t="s">
        <v>339</v>
      </c>
      <c r="J188" s="26" t="s">
        <v>340</v>
      </c>
      <c r="K188" s="22" t="s">
        <v>317</v>
      </c>
      <c r="L188" s="22"/>
      <c r="M188" s="22" t="s">
        <v>341</v>
      </c>
      <c r="N188" s="23"/>
      <c r="O188" s="23"/>
      <c r="P188" s="22" t="s">
        <v>52</v>
      </c>
      <c r="Q188" s="38" t="s">
        <v>216</v>
      </c>
    </row>
    <row r="189" s="20" customFormat="1" customHeight="1" spans="1:17">
      <c r="A189" s="19">
        <v>188</v>
      </c>
      <c r="B189" s="21" t="s">
        <v>314</v>
      </c>
      <c r="C189" s="31">
        <f>SUBTOTAL(103,$B$1:B189)-1</f>
        <v>188</v>
      </c>
      <c r="D189" s="26" t="s">
        <v>149</v>
      </c>
      <c r="E189" s="26" t="s">
        <v>230</v>
      </c>
      <c r="F189" s="21" t="s">
        <v>315</v>
      </c>
      <c r="G189" s="21"/>
      <c r="H189" s="21"/>
      <c r="I189" s="26" t="s">
        <v>325</v>
      </c>
      <c r="J189" s="26" t="s">
        <v>340</v>
      </c>
      <c r="K189" s="22" t="s">
        <v>317</v>
      </c>
      <c r="L189" s="22"/>
      <c r="M189" s="22" t="s">
        <v>342</v>
      </c>
      <c r="N189" s="23"/>
      <c r="O189" s="23"/>
      <c r="P189" s="22" t="s">
        <v>24</v>
      </c>
      <c r="Q189" s="38" t="s">
        <v>222</v>
      </c>
    </row>
    <row r="190" s="20" customFormat="1" customHeight="1" spans="1:17">
      <c r="A190" s="19">
        <v>189</v>
      </c>
      <c r="B190" s="21" t="s">
        <v>314</v>
      </c>
      <c r="C190" s="31">
        <f>SUBTOTAL(103,$B$1:B190)-1</f>
        <v>189</v>
      </c>
      <c r="D190" s="26" t="s">
        <v>149</v>
      </c>
      <c r="E190" s="21" t="s">
        <v>184</v>
      </c>
      <c r="F190" s="21" t="s">
        <v>315</v>
      </c>
      <c r="G190" s="21"/>
      <c r="H190" s="21"/>
      <c r="I190" s="26" t="s">
        <v>339</v>
      </c>
      <c r="J190" s="26" t="s">
        <v>334</v>
      </c>
      <c r="K190" s="22" t="s">
        <v>317</v>
      </c>
      <c r="L190" s="22"/>
      <c r="M190" s="22" t="s">
        <v>343</v>
      </c>
      <c r="N190" s="22"/>
      <c r="O190" s="22"/>
      <c r="P190" s="22" t="s">
        <v>52</v>
      </c>
      <c r="Q190" s="24"/>
    </row>
    <row r="191" s="20" customFormat="1" customHeight="1" spans="1:17">
      <c r="A191" s="19">
        <v>190</v>
      </c>
      <c r="B191" s="26" t="s">
        <v>314</v>
      </c>
      <c r="C191" s="31">
        <f>SUBTOTAL(103,$B$1:B191)-1</f>
        <v>190</v>
      </c>
      <c r="D191" s="21" t="s">
        <v>62</v>
      </c>
      <c r="E191" s="21" t="s">
        <v>184</v>
      </c>
      <c r="F191" s="26" t="s">
        <v>315</v>
      </c>
      <c r="G191" s="26" t="s">
        <v>323</v>
      </c>
      <c r="H191" s="21"/>
      <c r="I191" s="26" t="s">
        <v>344</v>
      </c>
      <c r="J191" s="26" t="s">
        <v>340</v>
      </c>
      <c r="K191" s="22" t="s">
        <v>317</v>
      </c>
      <c r="L191" s="22"/>
      <c r="M191" s="22" t="s">
        <v>345</v>
      </c>
      <c r="N191" s="22"/>
      <c r="O191" s="22"/>
      <c r="P191" s="22" t="s">
        <v>52</v>
      </c>
      <c r="Q191" s="24" t="s">
        <v>346</v>
      </c>
    </row>
    <row r="192" s="20" customFormat="1" customHeight="1" spans="1:17">
      <c r="A192" s="19">
        <v>191</v>
      </c>
      <c r="B192" s="21" t="s">
        <v>314</v>
      </c>
      <c r="C192" s="31">
        <f>SUBTOTAL(103,$B$1:B192)-1</f>
        <v>191</v>
      </c>
      <c r="D192" s="26" t="s">
        <v>71</v>
      </c>
      <c r="E192" s="26" t="s">
        <v>195</v>
      </c>
      <c r="F192" s="21" t="s">
        <v>315</v>
      </c>
      <c r="G192" s="21"/>
      <c r="H192" s="21"/>
      <c r="I192" s="26" t="s">
        <v>339</v>
      </c>
      <c r="J192" s="26" t="s">
        <v>347</v>
      </c>
      <c r="K192" s="22" t="s">
        <v>317</v>
      </c>
      <c r="L192" s="22"/>
      <c r="M192" s="22" t="s">
        <v>348</v>
      </c>
      <c r="N192" s="22"/>
      <c r="O192" s="22"/>
      <c r="P192" s="22" t="s">
        <v>52</v>
      </c>
      <c r="Q192" s="38" t="s">
        <v>349</v>
      </c>
    </row>
    <row r="193" s="20" customFormat="1" customHeight="1" spans="1:17">
      <c r="A193" s="19">
        <v>192</v>
      </c>
      <c r="B193" s="21" t="s">
        <v>314</v>
      </c>
      <c r="C193" s="31">
        <f>SUBTOTAL(103,$B$1:B193)-1</f>
        <v>192</v>
      </c>
      <c r="D193" s="26" t="s">
        <v>71</v>
      </c>
      <c r="E193" s="26" t="s">
        <v>195</v>
      </c>
      <c r="F193" s="21" t="s">
        <v>315</v>
      </c>
      <c r="G193" s="21"/>
      <c r="H193" s="21"/>
      <c r="I193" s="26" t="s">
        <v>319</v>
      </c>
      <c r="J193" s="26" t="s">
        <v>340</v>
      </c>
      <c r="K193" s="22" t="s">
        <v>317</v>
      </c>
      <c r="L193" s="22"/>
      <c r="M193" s="22" t="s">
        <v>350</v>
      </c>
      <c r="N193" s="22"/>
      <c r="O193" s="22"/>
      <c r="P193" s="22" t="s">
        <v>75</v>
      </c>
      <c r="Q193" s="38" t="s">
        <v>349</v>
      </c>
    </row>
    <row r="194" s="20" customFormat="1" customHeight="1" spans="1:17">
      <c r="A194" s="19"/>
      <c r="B194" s="26" t="s">
        <v>351</v>
      </c>
      <c r="C194" s="31">
        <f>SUBTOTAL(103,$B$1:B194)-1</f>
        <v>193</v>
      </c>
      <c r="D194" s="26" t="s">
        <v>322</v>
      </c>
      <c r="E194" s="26" t="s">
        <v>195</v>
      </c>
      <c r="F194" s="21"/>
      <c r="G194" s="21"/>
      <c r="H194" s="21"/>
      <c r="I194" s="21"/>
      <c r="J194" s="21"/>
      <c r="K194" s="21"/>
      <c r="L194" s="21"/>
      <c r="M194" s="22" t="s">
        <v>352</v>
      </c>
      <c r="N194" s="45" t="s">
        <v>353</v>
      </c>
      <c r="O194" s="45" t="s">
        <v>354</v>
      </c>
      <c r="P194" s="23"/>
      <c r="Q194" s="24"/>
    </row>
    <row r="195" s="20" customFormat="1" customHeight="1" spans="1:17">
      <c r="A195" s="19">
        <v>193</v>
      </c>
      <c r="B195" s="21" t="s">
        <v>314</v>
      </c>
      <c r="C195" s="31">
        <f>SUBTOTAL(103,$B$1:B195)-1</f>
        <v>194</v>
      </c>
      <c r="D195" s="21" t="s">
        <v>71</v>
      </c>
      <c r="E195" s="21" t="s">
        <v>184</v>
      </c>
      <c r="F195" s="21" t="s">
        <v>315</v>
      </c>
      <c r="G195" s="21"/>
      <c r="H195" s="21"/>
      <c r="I195" s="26" t="s">
        <v>355</v>
      </c>
      <c r="J195" s="26" t="s">
        <v>334</v>
      </c>
      <c r="K195" s="22" t="s">
        <v>317</v>
      </c>
      <c r="L195" s="22"/>
      <c r="M195" s="22" t="s">
        <v>356</v>
      </c>
      <c r="N195" s="22"/>
      <c r="O195" s="22"/>
      <c r="P195" s="23" t="s">
        <v>40</v>
      </c>
      <c r="Q195" s="38"/>
    </row>
    <row r="196" s="20" customFormat="1" customHeight="1" spans="1:17">
      <c r="A196" s="19">
        <v>194</v>
      </c>
      <c r="B196" s="21" t="s">
        <v>314</v>
      </c>
      <c r="C196" s="31">
        <f>SUBTOTAL(103,$B$1:B196)-1</f>
        <v>195</v>
      </c>
      <c r="D196" s="26" t="s">
        <v>71</v>
      </c>
      <c r="E196" s="21" t="s">
        <v>184</v>
      </c>
      <c r="F196" s="21" t="s">
        <v>315</v>
      </c>
      <c r="G196" s="21"/>
      <c r="H196" s="21"/>
      <c r="I196" s="26" t="s">
        <v>355</v>
      </c>
      <c r="J196" s="26" t="s">
        <v>334</v>
      </c>
      <c r="K196" s="22" t="s">
        <v>317</v>
      </c>
      <c r="L196" s="22"/>
      <c r="M196" s="22" t="s">
        <v>357</v>
      </c>
      <c r="N196" s="22"/>
      <c r="O196" s="22"/>
      <c r="P196" s="22" t="s">
        <v>75</v>
      </c>
      <c r="Q196" s="38" t="s">
        <v>349</v>
      </c>
    </row>
    <row r="197" s="20" customFormat="1" customHeight="1" spans="1:17">
      <c r="A197" s="19">
        <v>195</v>
      </c>
      <c r="B197" s="21" t="s">
        <v>314</v>
      </c>
      <c r="C197" s="31">
        <f>SUBTOTAL(103,$B$1:B197)-1</f>
        <v>196</v>
      </c>
      <c r="D197" s="26" t="s">
        <v>71</v>
      </c>
      <c r="E197" s="26" t="s">
        <v>230</v>
      </c>
      <c r="F197" s="21" t="s">
        <v>315</v>
      </c>
      <c r="G197" s="26" t="s">
        <v>323</v>
      </c>
      <c r="H197" s="21"/>
      <c r="I197" s="26" t="s">
        <v>347</v>
      </c>
      <c r="J197" s="26" t="s">
        <v>334</v>
      </c>
      <c r="K197" s="22" t="s">
        <v>317</v>
      </c>
      <c r="L197" s="22"/>
      <c r="M197" s="22" t="s">
        <v>358</v>
      </c>
      <c r="N197" s="22"/>
      <c r="O197" s="22"/>
      <c r="P197" s="22" t="s">
        <v>75</v>
      </c>
      <c r="Q197" s="38" t="s">
        <v>349</v>
      </c>
    </row>
    <row r="198" s="20" customFormat="1" customHeight="1" spans="1:17">
      <c r="A198" s="19">
        <v>196</v>
      </c>
      <c r="B198" s="21" t="s">
        <v>314</v>
      </c>
      <c r="C198" s="31">
        <f>SUBTOTAL(103,$B$1:B198)-1</f>
        <v>197</v>
      </c>
      <c r="D198" s="26" t="s">
        <v>359</v>
      </c>
      <c r="E198" s="21" t="s">
        <v>184</v>
      </c>
      <c r="F198" s="21" t="s">
        <v>315</v>
      </c>
      <c r="G198" s="21"/>
      <c r="H198" s="21"/>
      <c r="I198" s="26" t="s">
        <v>26</v>
      </c>
      <c r="J198" s="26" t="s">
        <v>320</v>
      </c>
      <c r="K198" s="22" t="s">
        <v>317</v>
      </c>
      <c r="L198" s="22"/>
      <c r="M198" s="22" t="s">
        <v>360</v>
      </c>
      <c r="N198" s="22"/>
      <c r="O198" s="22"/>
      <c r="P198" s="22" t="s">
        <v>52</v>
      </c>
      <c r="Q198" s="24"/>
    </row>
    <row r="199" s="20" customFormat="1" customHeight="1" spans="1:17">
      <c r="A199" s="19">
        <v>197</v>
      </c>
      <c r="B199" s="21" t="s">
        <v>314</v>
      </c>
      <c r="C199" s="31">
        <f>SUBTOTAL(103,$B$1:B199)-1</f>
        <v>198</v>
      </c>
      <c r="D199" s="26" t="s">
        <v>77</v>
      </c>
      <c r="E199" s="21" t="s">
        <v>184</v>
      </c>
      <c r="F199" s="21" t="s">
        <v>315</v>
      </c>
      <c r="G199" s="21"/>
      <c r="H199" s="21"/>
      <c r="I199" s="26" t="s">
        <v>33</v>
      </c>
      <c r="J199" s="26" t="s">
        <v>320</v>
      </c>
      <c r="K199" s="22" t="s">
        <v>317</v>
      </c>
      <c r="L199" s="22"/>
      <c r="M199" s="22" t="s">
        <v>361</v>
      </c>
      <c r="N199" s="23"/>
      <c r="O199" s="23"/>
      <c r="P199" s="22" t="s">
        <v>84</v>
      </c>
      <c r="Q199" s="24"/>
    </row>
    <row r="200" s="20" customFormat="1" customHeight="1" spans="1:17">
      <c r="A200" s="19">
        <v>198</v>
      </c>
      <c r="B200" s="26" t="s">
        <v>362</v>
      </c>
      <c r="C200" s="31">
        <f>SUBTOTAL(103,$B$1:B200)-1</f>
        <v>199</v>
      </c>
      <c r="D200" s="26" t="s">
        <v>17</v>
      </c>
      <c r="E200" s="21" t="s">
        <v>184</v>
      </c>
      <c r="F200" s="26" t="s">
        <v>363</v>
      </c>
      <c r="G200" s="21"/>
      <c r="H200" s="21"/>
      <c r="I200" s="21"/>
      <c r="J200" s="21"/>
      <c r="K200" s="21"/>
      <c r="L200" s="21"/>
      <c r="M200" s="22" t="s">
        <v>364</v>
      </c>
      <c r="N200" s="45" t="s">
        <v>365</v>
      </c>
      <c r="O200" s="45"/>
      <c r="P200" s="22" t="s">
        <v>366</v>
      </c>
      <c r="Q200" s="45" t="s">
        <v>367</v>
      </c>
    </row>
    <row r="201" s="20" customFormat="1" customHeight="1" spans="1:17">
      <c r="A201" s="19">
        <v>199</v>
      </c>
      <c r="B201" s="26" t="s">
        <v>362</v>
      </c>
      <c r="C201" s="31">
        <f>SUBTOTAL(103,$B$1:B201)-1</f>
        <v>200</v>
      </c>
      <c r="D201" s="26" t="s">
        <v>17</v>
      </c>
      <c r="E201" s="26" t="s">
        <v>230</v>
      </c>
      <c r="F201" s="26" t="s">
        <v>363</v>
      </c>
      <c r="G201" s="21"/>
      <c r="H201" s="21"/>
      <c r="I201" s="21"/>
      <c r="J201" s="21"/>
      <c r="K201" s="21"/>
      <c r="L201" s="21"/>
      <c r="M201" s="22" t="s">
        <v>368</v>
      </c>
      <c r="N201" s="45" t="s">
        <v>369</v>
      </c>
      <c r="O201" s="45"/>
      <c r="P201" s="23"/>
      <c r="Q201" s="24"/>
    </row>
    <row r="202" s="20" customFormat="1" customHeight="1" spans="1:17">
      <c r="A202" s="19">
        <v>200</v>
      </c>
      <c r="B202" s="26" t="s">
        <v>362</v>
      </c>
      <c r="C202" s="31">
        <f>SUBTOTAL(103,$B$1:B202)-1</f>
        <v>201</v>
      </c>
      <c r="D202" s="26" t="s">
        <v>17</v>
      </c>
      <c r="E202" s="26" t="s">
        <v>370</v>
      </c>
      <c r="F202" s="26" t="s">
        <v>363</v>
      </c>
      <c r="G202" s="21"/>
      <c r="H202" s="21"/>
      <c r="I202" s="21"/>
      <c r="J202" s="21"/>
      <c r="K202" s="21"/>
      <c r="L202" s="21"/>
      <c r="M202" s="22" t="s">
        <v>371</v>
      </c>
      <c r="N202" s="45" t="s">
        <v>372</v>
      </c>
      <c r="O202" s="45"/>
      <c r="P202" s="23"/>
      <c r="Q202" s="24"/>
    </row>
    <row r="203" s="20" customFormat="1" customHeight="1" spans="1:17">
      <c r="A203" s="19">
        <v>201</v>
      </c>
      <c r="B203" s="26" t="s">
        <v>362</v>
      </c>
      <c r="C203" s="31">
        <f>SUBTOTAL(103,$B$1:B203)-1</f>
        <v>202</v>
      </c>
      <c r="D203" s="26" t="s">
        <v>322</v>
      </c>
      <c r="E203" s="21" t="s">
        <v>184</v>
      </c>
      <c r="F203" s="26" t="s">
        <v>363</v>
      </c>
      <c r="G203" s="21"/>
      <c r="H203" s="21"/>
      <c r="I203" s="21"/>
      <c r="J203" s="21"/>
      <c r="K203" s="21"/>
      <c r="L203" s="21"/>
      <c r="M203" s="22" t="s">
        <v>373</v>
      </c>
      <c r="N203" s="45" t="s">
        <v>374</v>
      </c>
      <c r="O203" s="45"/>
      <c r="P203" s="23"/>
      <c r="Q203" s="24"/>
    </row>
    <row r="204" s="20" customFormat="1" customHeight="1" spans="1:17">
      <c r="A204" s="19">
        <v>202</v>
      </c>
      <c r="B204" s="26" t="s">
        <v>362</v>
      </c>
      <c r="C204" s="31">
        <f>SUBTOTAL(103,$B$1:B204)-1</f>
        <v>203</v>
      </c>
      <c r="D204" s="26" t="s">
        <v>375</v>
      </c>
      <c r="E204" s="21" t="s">
        <v>184</v>
      </c>
      <c r="F204" s="26" t="s">
        <v>363</v>
      </c>
      <c r="G204" s="21"/>
      <c r="H204" s="21"/>
      <c r="I204" s="21"/>
      <c r="J204" s="21"/>
      <c r="K204" s="21"/>
      <c r="L204" s="22"/>
      <c r="M204" s="22" t="s">
        <v>376</v>
      </c>
      <c r="N204" s="45" t="s">
        <v>377</v>
      </c>
      <c r="O204" s="45"/>
      <c r="P204" s="23"/>
      <c r="Q204" s="24"/>
    </row>
    <row r="205" s="20" customFormat="1" customHeight="1" spans="1:17">
      <c r="A205" s="19">
        <v>203</v>
      </c>
      <c r="B205" s="26" t="s">
        <v>362</v>
      </c>
      <c r="C205" s="31">
        <f>SUBTOTAL(103,$B$1:B205)-1</f>
        <v>204</v>
      </c>
      <c r="D205" s="26" t="s">
        <v>378</v>
      </c>
      <c r="E205" s="21" t="s">
        <v>184</v>
      </c>
      <c r="F205" s="26" t="s">
        <v>363</v>
      </c>
      <c r="G205" s="21"/>
      <c r="H205" s="21"/>
      <c r="I205" s="26"/>
      <c r="J205" s="21"/>
      <c r="K205" s="21"/>
      <c r="L205" s="26"/>
      <c r="M205" s="22" t="s">
        <v>379</v>
      </c>
      <c r="N205" s="45" t="s">
        <v>380</v>
      </c>
      <c r="O205" s="45"/>
      <c r="P205" s="23"/>
      <c r="Q205" s="45" t="s">
        <v>380</v>
      </c>
    </row>
    <row r="206" s="20" customFormat="1" customHeight="1" spans="1:17">
      <c r="A206" s="19">
        <v>204</v>
      </c>
      <c r="B206" s="26" t="s">
        <v>362</v>
      </c>
      <c r="C206" s="31">
        <f>SUBTOTAL(103,$B$1:B206)-1</f>
        <v>205</v>
      </c>
      <c r="D206" s="26" t="s">
        <v>378</v>
      </c>
      <c r="E206" s="21" t="s">
        <v>184</v>
      </c>
      <c r="F206" s="26" t="s">
        <v>363</v>
      </c>
      <c r="G206" s="21"/>
      <c r="H206" s="21"/>
      <c r="I206" s="21"/>
      <c r="J206" s="21"/>
      <c r="K206" s="21"/>
      <c r="L206" s="21"/>
      <c r="M206" s="22" t="s">
        <v>381</v>
      </c>
      <c r="N206" s="45" t="s">
        <v>382</v>
      </c>
      <c r="O206" s="45"/>
      <c r="P206" s="23"/>
      <c r="Q206" s="24"/>
    </row>
    <row r="207" s="20" customFormat="1" customHeight="1" spans="1:17">
      <c r="A207" s="19">
        <v>205</v>
      </c>
      <c r="B207" s="26" t="s">
        <v>362</v>
      </c>
      <c r="C207" s="31">
        <f>SUBTOTAL(103,$B$1:B207)-1</f>
        <v>206</v>
      </c>
      <c r="D207" s="26" t="s">
        <v>383</v>
      </c>
      <c r="E207" s="26" t="s">
        <v>195</v>
      </c>
      <c r="F207" s="26" t="s">
        <v>363</v>
      </c>
      <c r="G207" s="21"/>
      <c r="H207" s="21"/>
      <c r="I207" s="21"/>
      <c r="J207" s="21"/>
      <c r="K207" s="21"/>
      <c r="L207" s="21"/>
      <c r="M207" s="22" t="s">
        <v>384</v>
      </c>
      <c r="N207" s="45" t="s">
        <v>385</v>
      </c>
      <c r="O207" s="45"/>
      <c r="P207" s="23"/>
      <c r="Q207" s="24"/>
    </row>
    <row r="208" s="20" customFormat="1" customHeight="1" spans="1:17">
      <c r="A208" s="19">
        <v>206</v>
      </c>
      <c r="B208" s="26" t="s">
        <v>362</v>
      </c>
      <c r="C208" s="31">
        <f>SUBTOTAL(103,$B$1:B208)-1</f>
        <v>207</v>
      </c>
      <c r="D208" s="26" t="s">
        <v>383</v>
      </c>
      <c r="E208" s="26" t="s">
        <v>195</v>
      </c>
      <c r="F208" s="26" t="s">
        <v>363</v>
      </c>
      <c r="G208" s="21"/>
      <c r="H208" s="21"/>
      <c r="I208" s="21"/>
      <c r="J208" s="21"/>
      <c r="K208" s="21"/>
      <c r="L208" s="21"/>
      <c r="M208" s="22" t="s">
        <v>386</v>
      </c>
      <c r="N208" s="45" t="s">
        <v>387</v>
      </c>
      <c r="O208" s="45"/>
      <c r="P208" s="23"/>
      <c r="Q208" s="24"/>
    </row>
    <row r="209" s="20" customFormat="1" customHeight="1" spans="1:17">
      <c r="A209" s="19">
        <v>207</v>
      </c>
      <c r="B209" s="26" t="s">
        <v>362</v>
      </c>
      <c r="C209" s="31">
        <f>SUBTOTAL(103,$B$1:B209)-1</f>
        <v>208</v>
      </c>
      <c r="D209" s="26" t="s">
        <v>383</v>
      </c>
      <c r="E209" s="26" t="s">
        <v>230</v>
      </c>
      <c r="F209" s="26" t="s">
        <v>363</v>
      </c>
      <c r="G209" s="21"/>
      <c r="H209" s="21"/>
      <c r="I209" s="21"/>
      <c r="J209" s="21"/>
      <c r="K209" s="21"/>
      <c r="L209" s="21"/>
      <c r="M209" s="22" t="s">
        <v>360</v>
      </c>
      <c r="N209" s="45" t="s">
        <v>388</v>
      </c>
      <c r="O209" s="45"/>
      <c r="P209" s="23"/>
      <c r="Q209" s="24"/>
    </row>
    <row r="210" s="20" customFormat="1" customHeight="1" spans="1:17">
      <c r="A210" s="19">
        <v>208</v>
      </c>
      <c r="B210" s="26" t="s">
        <v>362</v>
      </c>
      <c r="C210" s="31">
        <f>SUBTOTAL(103,$B$1:B210)-1</f>
        <v>209</v>
      </c>
      <c r="D210" s="26" t="s">
        <v>383</v>
      </c>
      <c r="E210" s="26" t="s">
        <v>230</v>
      </c>
      <c r="F210" s="26" t="s">
        <v>363</v>
      </c>
      <c r="G210" s="21"/>
      <c r="H210" s="21"/>
      <c r="I210" s="21"/>
      <c r="J210" s="21"/>
      <c r="K210" s="21"/>
      <c r="L210" s="21"/>
      <c r="M210" s="22" t="s">
        <v>389</v>
      </c>
      <c r="N210" s="45" t="s">
        <v>390</v>
      </c>
      <c r="O210" s="45"/>
      <c r="P210" s="23"/>
      <c r="Q210" s="24"/>
    </row>
    <row r="211" s="20" customFormat="1" customHeight="1" spans="1:17">
      <c r="A211" s="19">
        <v>209</v>
      </c>
      <c r="B211" s="26" t="s">
        <v>362</v>
      </c>
      <c r="C211" s="31">
        <f>SUBTOTAL(103,$B$1:B211)-1</f>
        <v>210</v>
      </c>
      <c r="D211" s="26" t="s">
        <v>391</v>
      </c>
      <c r="E211" s="26" t="s">
        <v>230</v>
      </c>
      <c r="F211" s="26" t="s">
        <v>363</v>
      </c>
      <c r="G211" s="21"/>
      <c r="H211" s="21"/>
      <c r="I211" s="21"/>
      <c r="J211" s="21"/>
      <c r="K211" s="21"/>
      <c r="L211" s="21"/>
      <c r="M211" s="22" t="s">
        <v>392</v>
      </c>
      <c r="N211" s="45" t="s">
        <v>393</v>
      </c>
      <c r="O211" s="45"/>
      <c r="P211" s="23"/>
      <c r="Q211" s="45" t="s">
        <v>394</v>
      </c>
    </row>
    <row r="212" s="20" customFormat="1" customHeight="1" spans="1:17">
      <c r="A212" s="19">
        <v>210</v>
      </c>
      <c r="B212" s="26" t="s">
        <v>362</v>
      </c>
      <c r="C212" s="31">
        <f>SUBTOTAL(103,$B$1:B212)-1</f>
        <v>211</v>
      </c>
      <c r="D212" s="26" t="s">
        <v>391</v>
      </c>
      <c r="E212" s="26" t="s">
        <v>195</v>
      </c>
      <c r="F212" s="26" t="s">
        <v>363</v>
      </c>
      <c r="G212" s="21"/>
      <c r="H212" s="21"/>
      <c r="I212" s="21"/>
      <c r="J212" s="21"/>
      <c r="K212" s="21"/>
      <c r="L212" s="21"/>
      <c r="M212" s="22" t="s">
        <v>395</v>
      </c>
      <c r="N212" s="45" t="s">
        <v>396</v>
      </c>
      <c r="O212" s="45"/>
      <c r="P212" s="23"/>
      <c r="Q212" s="45" t="s">
        <v>397</v>
      </c>
    </row>
    <row r="213" s="20" customFormat="1" customHeight="1" spans="1:17">
      <c r="A213" s="19">
        <v>211</v>
      </c>
      <c r="B213" s="26" t="s">
        <v>362</v>
      </c>
      <c r="C213" s="31">
        <f>SUBTOTAL(103,$B$1:B213)-1</f>
        <v>212</v>
      </c>
      <c r="D213" s="26" t="s">
        <v>391</v>
      </c>
      <c r="E213" s="26" t="s">
        <v>195</v>
      </c>
      <c r="F213" s="26" t="s">
        <v>363</v>
      </c>
      <c r="G213" s="21"/>
      <c r="H213" s="21"/>
      <c r="I213" s="21"/>
      <c r="J213" s="21"/>
      <c r="K213" s="21"/>
      <c r="L213" s="21"/>
      <c r="M213" s="22" t="s">
        <v>398</v>
      </c>
      <c r="N213" s="45" t="s">
        <v>399</v>
      </c>
      <c r="O213" s="45"/>
      <c r="P213" s="23"/>
      <c r="Q213" s="45" t="s">
        <v>400</v>
      </c>
    </row>
    <row r="214" s="20" customFormat="1" customHeight="1" spans="1:17">
      <c r="A214" s="19">
        <v>212</v>
      </c>
      <c r="B214" s="26" t="s">
        <v>362</v>
      </c>
      <c r="C214" s="31">
        <f>SUBTOTAL(103,$B$1:B214)-1</f>
        <v>213</v>
      </c>
      <c r="D214" s="26" t="s">
        <v>391</v>
      </c>
      <c r="E214" s="26" t="s">
        <v>195</v>
      </c>
      <c r="F214" s="26" t="s">
        <v>363</v>
      </c>
      <c r="G214" s="21"/>
      <c r="H214" s="21"/>
      <c r="I214" s="21"/>
      <c r="J214" s="21"/>
      <c r="K214" s="21"/>
      <c r="L214" s="21"/>
      <c r="M214" s="22" t="s">
        <v>401</v>
      </c>
      <c r="N214" s="45" t="s">
        <v>402</v>
      </c>
      <c r="O214" s="45"/>
      <c r="P214" s="23"/>
      <c r="Q214" s="45" t="s">
        <v>403</v>
      </c>
    </row>
    <row r="215" s="20" customFormat="1" customHeight="1" spans="1:17">
      <c r="A215" s="19">
        <v>213</v>
      </c>
      <c r="B215" s="26" t="s">
        <v>362</v>
      </c>
      <c r="C215" s="31">
        <f>SUBTOTAL(103,$B$1:B215)-1</f>
        <v>214</v>
      </c>
      <c r="D215" s="26" t="s">
        <v>391</v>
      </c>
      <c r="E215" s="26" t="s">
        <v>195</v>
      </c>
      <c r="F215" s="26" t="s">
        <v>363</v>
      </c>
      <c r="G215" s="21"/>
      <c r="H215" s="21"/>
      <c r="I215" s="21"/>
      <c r="J215" s="21"/>
      <c r="K215" s="21"/>
      <c r="L215" s="21"/>
      <c r="M215" s="22" t="s">
        <v>404</v>
      </c>
      <c r="N215" s="45" t="s">
        <v>405</v>
      </c>
      <c r="O215" s="45"/>
      <c r="P215" s="23"/>
      <c r="Q215" s="24"/>
    </row>
    <row r="216" s="20" customFormat="1" customHeight="1" spans="1:17">
      <c r="A216" s="19">
        <v>214</v>
      </c>
      <c r="B216" s="26" t="s">
        <v>362</v>
      </c>
      <c r="C216" s="31">
        <f>SUBTOTAL(103,$B$1:B216)-1</f>
        <v>215</v>
      </c>
      <c r="D216" s="26" t="s">
        <v>391</v>
      </c>
      <c r="E216" s="26" t="s">
        <v>195</v>
      </c>
      <c r="F216" s="26" t="s">
        <v>363</v>
      </c>
      <c r="G216" s="21"/>
      <c r="H216" s="21"/>
      <c r="I216" s="21"/>
      <c r="J216" s="21"/>
      <c r="K216" s="21"/>
      <c r="L216" s="21"/>
      <c r="M216" s="22" t="s">
        <v>406</v>
      </c>
      <c r="N216" s="45" t="s">
        <v>407</v>
      </c>
      <c r="O216" s="45"/>
      <c r="P216" s="23"/>
      <c r="Q216" s="24"/>
    </row>
    <row r="217" s="20" customFormat="1" customHeight="1" spans="1:17">
      <c r="A217" s="19">
        <v>215</v>
      </c>
      <c r="B217" s="26" t="s">
        <v>362</v>
      </c>
      <c r="C217" s="31">
        <f>SUBTOTAL(103,$B$1:B217)-1</f>
        <v>216</v>
      </c>
      <c r="D217" s="26" t="s">
        <v>391</v>
      </c>
      <c r="E217" s="26" t="s">
        <v>195</v>
      </c>
      <c r="F217" s="26" t="s">
        <v>363</v>
      </c>
      <c r="G217" s="21"/>
      <c r="H217" s="21"/>
      <c r="I217" s="21"/>
      <c r="J217" s="21"/>
      <c r="K217" s="21"/>
      <c r="L217" s="21"/>
      <c r="M217" s="22" t="s">
        <v>408</v>
      </c>
      <c r="N217" s="45" t="s">
        <v>409</v>
      </c>
      <c r="O217" s="45"/>
      <c r="P217" s="23"/>
      <c r="Q217" s="24"/>
    </row>
    <row r="218" s="20" customFormat="1" customHeight="1" spans="1:17">
      <c r="A218" s="19">
        <v>216</v>
      </c>
      <c r="B218" s="26" t="s">
        <v>362</v>
      </c>
      <c r="C218" s="31">
        <f>SUBTOTAL(103,$B$1:B218)-1</f>
        <v>217</v>
      </c>
      <c r="D218" s="26" t="s">
        <v>410</v>
      </c>
      <c r="E218" s="26" t="s">
        <v>370</v>
      </c>
      <c r="F218" s="26" t="s">
        <v>363</v>
      </c>
      <c r="G218" s="21"/>
      <c r="H218" s="21"/>
      <c r="I218" s="21"/>
      <c r="J218" s="21"/>
      <c r="K218" s="21"/>
      <c r="L218" s="21"/>
      <c r="M218" s="22" t="s">
        <v>411</v>
      </c>
      <c r="N218" s="45" t="s">
        <v>412</v>
      </c>
      <c r="O218" s="45"/>
      <c r="P218" s="23"/>
      <c r="Q218" s="24"/>
    </row>
    <row r="219" s="20" customFormat="1" customHeight="1" spans="1:17">
      <c r="A219" s="19"/>
      <c r="B219" s="26" t="s">
        <v>413</v>
      </c>
      <c r="C219" s="31">
        <f>SUBTOTAL(103,$B$1:B219)-1</f>
        <v>218</v>
      </c>
      <c r="D219" s="26" t="s">
        <v>375</v>
      </c>
      <c r="E219" s="26" t="s">
        <v>414</v>
      </c>
      <c r="F219" s="21"/>
      <c r="G219" s="26"/>
      <c r="H219" s="21"/>
      <c r="I219" s="19"/>
      <c r="J219" s="19"/>
      <c r="K219" s="26" t="s">
        <v>20</v>
      </c>
      <c r="L219" s="26"/>
      <c r="M219" s="22" t="s">
        <v>415</v>
      </c>
      <c r="N219" s="45" t="s">
        <v>416</v>
      </c>
      <c r="O219" s="45"/>
      <c r="P219" s="23"/>
      <c r="Q219" s="24" t="s">
        <v>417</v>
      </c>
    </row>
    <row r="220" s="20" customFormat="1" customHeight="1" spans="1:17">
      <c r="A220" s="19"/>
      <c r="B220" s="26" t="s">
        <v>418</v>
      </c>
      <c r="C220" s="31">
        <f>SUBTOTAL(103,$B$1:B220)-1</f>
        <v>219</v>
      </c>
      <c r="D220" s="26" t="s">
        <v>149</v>
      </c>
      <c r="E220" s="21"/>
      <c r="F220" s="21"/>
      <c r="G220" s="21"/>
      <c r="H220" s="21"/>
      <c r="I220" s="21"/>
      <c r="J220" s="21"/>
      <c r="K220" s="26" t="s">
        <v>20</v>
      </c>
      <c r="L220" s="26"/>
      <c r="M220" s="22" t="s">
        <v>419</v>
      </c>
      <c r="N220" s="45" t="s">
        <v>420</v>
      </c>
      <c r="O220" s="45" t="s">
        <v>421</v>
      </c>
      <c r="P220" s="23"/>
      <c r="Q220" s="24"/>
    </row>
    <row r="221" s="20" customFormat="1" customHeight="1" spans="1:17">
      <c r="A221" s="19"/>
      <c r="B221" s="26" t="s">
        <v>422</v>
      </c>
      <c r="C221" s="31">
        <f>SUBTOTAL(103,$B$1:B221)-1</f>
        <v>220</v>
      </c>
      <c r="D221" s="26" t="s">
        <v>375</v>
      </c>
      <c r="E221" s="26" t="s">
        <v>184</v>
      </c>
      <c r="F221" s="21"/>
      <c r="G221" s="21"/>
      <c r="H221" s="21"/>
      <c r="I221" s="26"/>
      <c r="J221" s="26"/>
      <c r="K221" s="22"/>
      <c r="L221" s="22"/>
      <c r="M221" s="22" t="s">
        <v>423</v>
      </c>
      <c r="N221" s="45" t="s">
        <v>424</v>
      </c>
      <c r="O221" s="45"/>
      <c r="P221" s="23"/>
      <c r="Q221" s="38"/>
    </row>
    <row r="222" s="20" customFormat="1" customHeight="1" spans="1:17">
      <c r="A222" s="19"/>
      <c r="B222" s="26" t="s">
        <v>422</v>
      </c>
      <c r="C222" s="31">
        <f>SUBTOTAL(103,$B$1:B222)-1</f>
        <v>221</v>
      </c>
      <c r="D222" s="26" t="s">
        <v>375</v>
      </c>
      <c r="E222" s="26" t="s">
        <v>184</v>
      </c>
      <c r="F222" s="21"/>
      <c r="G222" s="21"/>
      <c r="H222" s="21"/>
      <c r="I222" s="26"/>
      <c r="J222" s="21"/>
      <c r="K222" s="21"/>
      <c r="L222" s="26"/>
      <c r="M222" s="22" t="s">
        <v>425</v>
      </c>
      <c r="N222" s="45" t="s">
        <v>426</v>
      </c>
      <c r="O222" s="45"/>
      <c r="P222" s="23"/>
      <c r="Q222" s="24"/>
    </row>
    <row r="223" s="20" customFormat="1" customHeight="1" spans="1:17">
      <c r="A223" s="19"/>
      <c r="B223" s="26" t="s">
        <v>427</v>
      </c>
      <c r="C223" s="31">
        <f>SUBTOTAL(103,$B$1:B223)-1</f>
        <v>222</v>
      </c>
      <c r="D223" s="26" t="s">
        <v>322</v>
      </c>
      <c r="E223" s="26" t="s">
        <v>428</v>
      </c>
      <c r="F223" s="26" t="s">
        <v>429</v>
      </c>
      <c r="G223" s="21"/>
      <c r="H223" s="21"/>
      <c r="I223" s="21"/>
      <c r="J223" s="21"/>
      <c r="K223" s="21"/>
      <c r="L223" s="21"/>
      <c r="M223" s="22" t="s">
        <v>430</v>
      </c>
      <c r="N223" s="45" t="s">
        <v>431</v>
      </c>
      <c r="O223" s="45" t="s">
        <v>432</v>
      </c>
      <c r="P223" s="23"/>
      <c r="Q223" s="24"/>
    </row>
    <row r="224" s="20" customFormat="1" customHeight="1" spans="1:17">
      <c r="A224" s="19"/>
      <c r="B224" s="26" t="s">
        <v>427</v>
      </c>
      <c r="C224" s="31">
        <f>SUBTOTAL(103,$B$1:B224)-1</f>
        <v>223</v>
      </c>
      <c r="D224" s="26" t="s">
        <v>322</v>
      </c>
      <c r="E224" s="26" t="s">
        <v>195</v>
      </c>
      <c r="F224" s="26" t="s">
        <v>429</v>
      </c>
      <c r="G224" s="21"/>
      <c r="H224" s="21"/>
      <c r="I224" s="21"/>
      <c r="J224" s="21"/>
      <c r="K224" s="21"/>
      <c r="L224" s="21"/>
      <c r="M224" s="22" t="s">
        <v>433</v>
      </c>
      <c r="N224" s="45" t="s">
        <v>434</v>
      </c>
      <c r="O224" s="45" t="s">
        <v>435</v>
      </c>
      <c r="P224" s="23"/>
      <c r="Q224" s="24"/>
    </row>
    <row r="225" s="20" customFormat="1" customHeight="1" spans="1:17">
      <c r="A225" s="19"/>
      <c r="B225" s="26" t="s">
        <v>422</v>
      </c>
      <c r="C225" s="31">
        <f>SUBTOTAL(103,$B$1:B225)-1</f>
        <v>224</v>
      </c>
      <c r="D225" s="26" t="s">
        <v>375</v>
      </c>
      <c r="E225" s="26" t="s">
        <v>436</v>
      </c>
      <c r="F225" s="21"/>
      <c r="G225" s="21"/>
      <c r="H225" s="21"/>
      <c r="I225" s="21"/>
      <c r="J225" s="21"/>
      <c r="K225" s="21"/>
      <c r="L225" s="21"/>
      <c r="M225" s="22" t="s">
        <v>437</v>
      </c>
      <c r="N225" s="22" t="s">
        <v>438</v>
      </c>
      <c r="O225" s="22"/>
      <c r="P225" s="23"/>
      <c r="Q225" s="22" t="s">
        <v>439</v>
      </c>
    </row>
    <row r="226" s="20" customFormat="1" customHeight="1" spans="1:17">
      <c r="A226" s="19"/>
      <c r="B226" s="26" t="s">
        <v>418</v>
      </c>
      <c r="C226" s="31">
        <f>SUBTOTAL(103,$B$1:B226)-1</f>
        <v>225</v>
      </c>
      <c r="D226" s="21"/>
      <c r="E226" s="26" t="s">
        <v>184</v>
      </c>
      <c r="F226" s="21"/>
      <c r="G226" s="21"/>
      <c r="H226" s="21"/>
      <c r="I226" s="21"/>
      <c r="J226" s="21"/>
      <c r="K226" s="21"/>
      <c r="L226" s="21"/>
      <c r="M226" s="22" t="s">
        <v>440</v>
      </c>
      <c r="N226" s="45" t="s">
        <v>441</v>
      </c>
      <c r="O226" s="45" t="s">
        <v>442</v>
      </c>
      <c r="P226" s="23"/>
      <c r="Q226" s="24"/>
    </row>
    <row r="227" s="20" customFormat="1" customHeight="1" spans="1:17">
      <c r="A227" s="19"/>
      <c r="B227" s="26" t="s">
        <v>427</v>
      </c>
      <c r="C227" s="31">
        <f>SUBTOTAL(103,$B$1:B227)-1</f>
        <v>226</v>
      </c>
      <c r="D227" s="26" t="s">
        <v>322</v>
      </c>
      <c r="E227" s="26" t="s">
        <v>195</v>
      </c>
      <c r="F227" s="26" t="s">
        <v>429</v>
      </c>
      <c r="G227" s="21"/>
      <c r="H227" s="21"/>
      <c r="I227" s="21"/>
      <c r="J227" s="21"/>
      <c r="K227" s="21"/>
      <c r="L227" s="21"/>
      <c r="M227" s="22" t="s">
        <v>443</v>
      </c>
      <c r="N227" s="45" t="s">
        <v>444</v>
      </c>
      <c r="O227" s="45" t="s">
        <v>445</v>
      </c>
      <c r="P227" s="23"/>
      <c r="Q227" s="24"/>
    </row>
    <row r="228" s="20" customFormat="1" customHeight="1" spans="1:17">
      <c r="A228" s="19"/>
      <c r="B228" s="26" t="s">
        <v>422</v>
      </c>
      <c r="C228" s="31">
        <f>SUBTOTAL(103,$B$1:B228)-1</f>
        <v>227</v>
      </c>
      <c r="D228" s="26" t="s">
        <v>378</v>
      </c>
      <c r="E228" s="26" t="s">
        <v>436</v>
      </c>
      <c r="F228" s="21"/>
      <c r="G228" s="21"/>
      <c r="H228" s="21"/>
      <c r="I228" s="21"/>
      <c r="J228" s="21"/>
      <c r="K228" s="21"/>
      <c r="L228" s="21"/>
      <c r="M228" s="22" t="s">
        <v>446</v>
      </c>
      <c r="N228" s="22" t="s">
        <v>438</v>
      </c>
      <c r="O228" s="22"/>
      <c r="P228" s="23"/>
      <c r="Q228" s="22" t="s">
        <v>447</v>
      </c>
    </row>
    <row r="229" s="20" customFormat="1" ht="123" spans="1:17">
      <c r="A229" s="19"/>
      <c r="B229" s="26" t="s">
        <v>427</v>
      </c>
      <c r="C229" s="31">
        <f>SUBTOTAL(103,$B$1:B229)-1</f>
        <v>228</v>
      </c>
      <c r="D229" s="26" t="s">
        <v>322</v>
      </c>
      <c r="E229" s="26" t="s">
        <v>195</v>
      </c>
      <c r="F229" s="26" t="s">
        <v>429</v>
      </c>
      <c r="G229" s="21"/>
      <c r="H229" s="21"/>
      <c r="I229" s="21"/>
      <c r="J229" s="21"/>
      <c r="K229" s="21"/>
      <c r="L229" s="21"/>
      <c r="M229" s="22" t="s">
        <v>448</v>
      </c>
      <c r="N229" s="45" t="s">
        <v>449</v>
      </c>
      <c r="O229" s="45" t="s">
        <v>450</v>
      </c>
      <c r="P229" s="23"/>
      <c r="Q229" s="24"/>
    </row>
    <row r="230" s="20" customFormat="1" customHeight="1" spans="1:17">
      <c r="A230" s="19"/>
      <c r="B230" s="26" t="s">
        <v>422</v>
      </c>
      <c r="C230" s="31">
        <f>SUBTOTAL(103,$B$1:B230)-1</f>
        <v>229</v>
      </c>
      <c r="D230" s="21"/>
      <c r="E230" s="26" t="s">
        <v>184</v>
      </c>
      <c r="F230" s="21"/>
      <c r="G230" s="21"/>
      <c r="H230" s="21"/>
      <c r="I230" s="21"/>
      <c r="J230" s="21"/>
      <c r="K230" s="21"/>
      <c r="L230" s="21"/>
      <c r="M230" s="22" t="s">
        <v>451</v>
      </c>
      <c r="N230" s="22"/>
      <c r="O230" s="22"/>
      <c r="P230" s="23"/>
      <c r="Q230" s="24"/>
    </row>
    <row r="231" s="20" customFormat="1" customHeight="1" spans="1:17">
      <c r="A231" s="19"/>
      <c r="B231" s="26" t="s">
        <v>427</v>
      </c>
      <c r="C231" s="31">
        <f>SUBTOTAL(103,$B$1:B231)-1</f>
        <v>230</v>
      </c>
      <c r="D231" s="26" t="s">
        <v>452</v>
      </c>
      <c r="E231" s="26" t="s">
        <v>230</v>
      </c>
      <c r="F231" s="26" t="s">
        <v>429</v>
      </c>
      <c r="G231" s="21"/>
      <c r="H231" s="21"/>
      <c r="I231" s="21"/>
      <c r="J231" s="21"/>
      <c r="K231" s="21"/>
      <c r="L231" s="21"/>
      <c r="M231" s="22" t="s">
        <v>453</v>
      </c>
      <c r="N231" s="45" t="s">
        <v>454</v>
      </c>
      <c r="O231" s="45" t="s">
        <v>455</v>
      </c>
      <c r="P231" s="23"/>
      <c r="Q231" s="24"/>
    </row>
    <row r="232" s="20" customFormat="1" customHeight="1" spans="1:17">
      <c r="A232" s="19"/>
      <c r="B232" s="26" t="s">
        <v>427</v>
      </c>
      <c r="C232" s="31">
        <f>SUBTOTAL(103,$B$1:B232)-1</f>
        <v>231</v>
      </c>
      <c r="D232" s="26" t="s">
        <v>452</v>
      </c>
      <c r="E232" s="26" t="s">
        <v>428</v>
      </c>
      <c r="F232" s="26" t="s">
        <v>429</v>
      </c>
      <c r="G232" s="21"/>
      <c r="H232" s="21"/>
      <c r="I232" s="21"/>
      <c r="J232" s="21"/>
      <c r="K232" s="21"/>
      <c r="L232" s="21"/>
      <c r="M232" s="22" t="s">
        <v>456</v>
      </c>
      <c r="N232" s="45" t="s">
        <v>457</v>
      </c>
      <c r="O232" s="45" t="s">
        <v>458</v>
      </c>
      <c r="P232" s="23"/>
      <c r="Q232" s="24"/>
    </row>
    <row r="233" s="20" customFormat="1" customHeight="1" spans="1:17">
      <c r="A233" s="19"/>
      <c r="B233" s="26" t="s">
        <v>422</v>
      </c>
      <c r="C233" s="31">
        <f>SUBTOTAL(103,$B$1:B233)-1</f>
        <v>232</v>
      </c>
      <c r="D233" s="21"/>
      <c r="E233" s="26" t="s">
        <v>459</v>
      </c>
      <c r="F233" s="21"/>
      <c r="G233" s="21"/>
      <c r="H233" s="21"/>
      <c r="I233" s="21"/>
      <c r="J233" s="21"/>
      <c r="K233" s="21"/>
      <c r="L233" s="21"/>
      <c r="M233" s="22" t="s">
        <v>460</v>
      </c>
      <c r="N233" s="22"/>
      <c r="O233" s="22"/>
      <c r="P233" s="23"/>
      <c r="Q233" s="24"/>
    </row>
    <row r="234" s="20" customFormat="1" customHeight="1" spans="1:17">
      <c r="A234" s="19"/>
      <c r="B234" s="26" t="s">
        <v>427</v>
      </c>
      <c r="C234" s="31">
        <f>SUBTOTAL(103,$B$1:B234)-1</f>
        <v>233</v>
      </c>
      <c r="D234" s="26" t="s">
        <v>452</v>
      </c>
      <c r="E234" s="26" t="s">
        <v>195</v>
      </c>
      <c r="F234" s="26" t="s">
        <v>429</v>
      </c>
      <c r="G234" s="21"/>
      <c r="H234" s="21"/>
      <c r="I234" s="21"/>
      <c r="J234" s="21"/>
      <c r="K234" s="21"/>
      <c r="L234" s="21"/>
      <c r="M234" s="22" t="s">
        <v>461</v>
      </c>
      <c r="N234" s="45" t="s">
        <v>462</v>
      </c>
      <c r="O234" s="45" t="s">
        <v>463</v>
      </c>
      <c r="P234" s="23"/>
      <c r="Q234" s="24"/>
    </row>
    <row r="235" s="20" customFormat="1" customHeight="1" spans="1:17">
      <c r="A235" s="19"/>
      <c r="B235" s="26" t="s">
        <v>413</v>
      </c>
      <c r="C235" s="31">
        <f>SUBTOTAL(103,$B$1:B235)-1</f>
        <v>234</v>
      </c>
      <c r="D235" s="26" t="s">
        <v>452</v>
      </c>
      <c r="E235" s="21"/>
      <c r="F235" s="21"/>
      <c r="G235" s="21"/>
      <c r="H235" s="21"/>
      <c r="I235" s="21"/>
      <c r="J235" s="21"/>
      <c r="K235" s="21"/>
      <c r="L235" s="21"/>
      <c r="M235" s="22" t="s">
        <v>464</v>
      </c>
      <c r="N235" s="45" t="s">
        <v>465</v>
      </c>
      <c r="O235" s="45"/>
      <c r="P235" s="23"/>
      <c r="Q235" s="24"/>
    </row>
    <row r="236" s="20" customFormat="1" customHeight="1" spans="1:17">
      <c r="A236" s="19"/>
      <c r="B236" s="26" t="s">
        <v>413</v>
      </c>
      <c r="C236" s="31">
        <f>SUBTOTAL(103,$B$1:B236)-1</f>
        <v>235</v>
      </c>
      <c r="D236" s="26" t="s">
        <v>322</v>
      </c>
      <c r="E236" s="21"/>
      <c r="F236" s="21"/>
      <c r="G236" s="21"/>
      <c r="H236" s="21"/>
      <c r="I236" s="21"/>
      <c r="J236" s="21"/>
      <c r="K236" s="21"/>
      <c r="L236" s="21"/>
      <c r="M236" s="22" t="s">
        <v>466</v>
      </c>
      <c r="N236" s="45" t="s">
        <v>467</v>
      </c>
      <c r="O236" s="45"/>
      <c r="P236" s="23"/>
      <c r="Q236" s="24"/>
    </row>
    <row r="237" s="20" customFormat="1" customHeight="1" spans="1:17">
      <c r="A237" s="19"/>
      <c r="B237" s="26" t="s">
        <v>422</v>
      </c>
      <c r="C237" s="31">
        <f>SUBTOTAL(103,$B$1:B237)-1</f>
        <v>236</v>
      </c>
      <c r="D237" s="21"/>
      <c r="E237" s="26" t="s">
        <v>195</v>
      </c>
      <c r="F237" s="21"/>
      <c r="G237" s="21"/>
      <c r="H237" s="21"/>
      <c r="I237" s="21"/>
      <c r="J237" s="21"/>
      <c r="K237" s="21"/>
      <c r="L237" s="21"/>
      <c r="M237" s="22" t="s">
        <v>468</v>
      </c>
      <c r="N237" s="22"/>
      <c r="O237" s="22"/>
      <c r="P237" s="23"/>
      <c r="Q237" s="24"/>
    </row>
    <row r="238" s="20" customFormat="1" customHeight="1" spans="1:17">
      <c r="A238" s="19"/>
      <c r="B238" s="26" t="s">
        <v>427</v>
      </c>
      <c r="C238" s="31">
        <f>SUBTOTAL(103,$B$1:B238)-1</f>
        <v>237</v>
      </c>
      <c r="D238" s="26" t="s">
        <v>452</v>
      </c>
      <c r="E238" s="26" t="s">
        <v>230</v>
      </c>
      <c r="F238" s="26" t="s">
        <v>429</v>
      </c>
      <c r="G238" s="21"/>
      <c r="H238" s="21"/>
      <c r="I238" s="21"/>
      <c r="J238" s="21"/>
      <c r="K238" s="21"/>
      <c r="L238" s="21"/>
      <c r="M238" s="22" t="s">
        <v>469</v>
      </c>
      <c r="N238" s="45" t="s">
        <v>470</v>
      </c>
      <c r="O238" s="45" t="s">
        <v>471</v>
      </c>
      <c r="P238" s="23"/>
      <c r="Q238" s="24"/>
    </row>
    <row r="239" s="20" customFormat="1" customHeight="1" spans="1:17">
      <c r="A239" s="19"/>
      <c r="B239" s="26" t="s">
        <v>427</v>
      </c>
      <c r="C239" s="31">
        <f>SUBTOTAL(103,$B$1:B239)-1</f>
        <v>238</v>
      </c>
      <c r="D239" s="26" t="s">
        <v>375</v>
      </c>
      <c r="E239" s="26" t="s">
        <v>230</v>
      </c>
      <c r="F239" s="26" t="s">
        <v>429</v>
      </c>
      <c r="G239" s="21"/>
      <c r="H239" s="21"/>
      <c r="I239" s="21"/>
      <c r="J239" s="21"/>
      <c r="K239" s="21"/>
      <c r="L239" s="21"/>
      <c r="M239" s="22" t="s">
        <v>472</v>
      </c>
      <c r="N239" s="45" t="s">
        <v>473</v>
      </c>
      <c r="O239" s="45" t="s">
        <v>474</v>
      </c>
      <c r="P239" s="23"/>
      <c r="Q239" s="24"/>
    </row>
    <row r="240" s="20" customFormat="1" customHeight="1" spans="1:17">
      <c r="A240" s="19"/>
      <c r="B240" s="26" t="s">
        <v>422</v>
      </c>
      <c r="C240" s="31">
        <f>SUBTOTAL(103,$B$1:B240)-1</f>
        <v>239</v>
      </c>
      <c r="D240" s="21"/>
      <c r="E240" s="26" t="s">
        <v>459</v>
      </c>
      <c r="F240" s="21"/>
      <c r="G240" s="21"/>
      <c r="H240" s="21"/>
      <c r="I240" s="21"/>
      <c r="J240" s="21"/>
      <c r="K240" s="21"/>
      <c r="L240" s="21"/>
      <c r="M240" s="22" t="s">
        <v>475</v>
      </c>
      <c r="N240" s="22"/>
      <c r="O240" s="22"/>
      <c r="P240" s="23"/>
      <c r="Q240" s="24"/>
    </row>
    <row r="241" s="20" customFormat="1" customHeight="1" spans="1:17">
      <c r="A241" s="19"/>
      <c r="B241" s="26" t="s">
        <v>422</v>
      </c>
      <c r="C241" s="31">
        <f>SUBTOTAL(103,$B$1:B241)-1</f>
        <v>240</v>
      </c>
      <c r="D241" s="21"/>
      <c r="E241" s="26" t="s">
        <v>436</v>
      </c>
      <c r="F241" s="21"/>
      <c r="G241" s="21"/>
      <c r="H241" s="21"/>
      <c r="I241" s="21"/>
      <c r="J241" s="21"/>
      <c r="K241" s="21"/>
      <c r="L241" s="21"/>
      <c r="M241" s="22" t="s">
        <v>476</v>
      </c>
      <c r="N241" s="22"/>
      <c r="O241" s="22"/>
      <c r="P241" s="23"/>
      <c r="Q241" s="22" t="s">
        <v>477</v>
      </c>
    </row>
    <row r="242" s="20" customFormat="1" customHeight="1" spans="1:17">
      <c r="A242" s="19"/>
      <c r="B242" s="26" t="s">
        <v>422</v>
      </c>
      <c r="C242" s="31">
        <f>SUBTOTAL(103,$B$1:B242)-1</f>
        <v>241</v>
      </c>
      <c r="D242" s="21"/>
      <c r="E242" s="26" t="s">
        <v>436</v>
      </c>
      <c r="F242" s="21"/>
      <c r="G242" s="21"/>
      <c r="H242" s="21"/>
      <c r="I242" s="21"/>
      <c r="J242" s="21"/>
      <c r="K242" s="21"/>
      <c r="L242" s="21"/>
      <c r="M242" s="22" t="s">
        <v>478</v>
      </c>
      <c r="N242" s="22"/>
      <c r="O242" s="22"/>
      <c r="P242" s="23"/>
      <c r="Q242" s="22" t="s">
        <v>479</v>
      </c>
    </row>
    <row r="243" s="20" customFormat="1" customHeight="1" spans="1:17">
      <c r="A243" s="19"/>
      <c r="B243" s="26" t="s">
        <v>427</v>
      </c>
      <c r="C243" s="31">
        <f>SUBTOTAL(103,$B$1:B243)-1</f>
        <v>242</v>
      </c>
      <c r="D243" s="26" t="s">
        <v>375</v>
      </c>
      <c r="E243" s="26" t="s">
        <v>230</v>
      </c>
      <c r="F243" s="26" t="s">
        <v>429</v>
      </c>
      <c r="G243" s="21"/>
      <c r="H243" s="21"/>
      <c r="I243" s="21"/>
      <c r="J243" s="21"/>
      <c r="K243" s="21"/>
      <c r="L243" s="21"/>
      <c r="M243" s="22" t="s">
        <v>480</v>
      </c>
      <c r="N243" s="45" t="s">
        <v>481</v>
      </c>
      <c r="O243" s="45" t="s">
        <v>482</v>
      </c>
      <c r="P243" s="23"/>
      <c r="Q243" s="24"/>
    </row>
    <row r="244" s="20" customFormat="1" customHeight="1" spans="1:17">
      <c r="A244" s="19"/>
      <c r="B244" s="26" t="s">
        <v>427</v>
      </c>
      <c r="C244" s="31">
        <f>SUBTOTAL(103,$B$1:B244)-1</f>
        <v>243</v>
      </c>
      <c r="D244" s="26" t="s">
        <v>375</v>
      </c>
      <c r="E244" s="26" t="s">
        <v>195</v>
      </c>
      <c r="F244" s="26" t="s">
        <v>429</v>
      </c>
      <c r="G244" s="21"/>
      <c r="H244" s="21"/>
      <c r="I244" s="21"/>
      <c r="J244" s="21"/>
      <c r="K244" s="21"/>
      <c r="L244" s="21"/>
      <c r="M244" s="22" t="s">
        <v>483</v>
      </c>
      <c r="N244" s="45" t="s">
        <v>484</v>
      </c>
      <c r="O244" s="45" t="s">
        <v>485</v>
      </c>
      <c r="P244" s="23"/>
      <c r="Q244" s="24"/>
    </row>
    <row r="245" s="20" customFormat="1" customHeight="1" spans="1:17">
      <c r="A245" s="19"/>
      <c r="B245" s="26" t="s">
        <v>418</v>
      </c>
      <c r="C245" s="31">
        <v>2</v>
      </c>
      <c r="D245" s="21"/>
      <c r="E245" s="26" t="s">
        <v>184</v>
      </c>
      <c r="F245" s="21"/>
      <c r="G245" s="21"/>
      <c r="H245" s="21"/>
      <c r="I245" s="21"/>
      <c r="J245" s="21"/>
      <c r="K245" s="21"/>
      <c r="L245" s="21"/>
      <c r="M245" s="22" t="s">
        <v>486</v>
      </c>
      <c r="N245" s="45" t="s">
        <v>441</v>
      </c>
      <c r="O245" s="45" t="s">
        <v>442</v>
      </c>
      <c r="P245" s="23"/>
      <c r="Q245" s="24"/>
    </row>
    <row r="246" s="20" customFormat="1" customHeight="1" spans="1:17">
      <c r="A246" s="19"/>
      <c r="B246" s="26" t="s">
        <v>422</v>
      </c>
      <c r="C246" s="31">
        <f>SUBTOTAL(103,$B$1:B246)-1</f>
        <v>245</v>
      </c>
      <c r="D246" s="26" t="s">
        <v>17</v>
      </c>
      <c r="E246" s="26" t="s">
        <v>184</v>
      </c>
      <c r="F246" s="21"/>
      <c r="G246" s="21"/>
      <c r="H246" s="21"/>
      <c r="I246" s="21"/>
      <c r="J246" s="21"/>
      <c r="K246" s="21"/>
      <c r="L246" s="21"/>
      <c r="M246" s="22" t="s">
        <v>487</v>
      </c>
      <c r="N246" s="45" t="s">
        <v>488</v>
      </c>
      <c r="O246" s="45"/>
      <c r="P246" s="23"/>
      <c r="Q246" s="24"/>
    </row>
    <row r="247" s="20" customFormat="1" customHeight="1" spans="1:17">
      <c r="A247" s="19"/>
      <c r="B247" s="26" t="s">
        <v>413</v>
      </c>
      <c r="C247" s="31">
        <f>SUBTOTAL(103,$B$1:B247)-1</f>
        <v>246</v>
      </c>
      <c r="D247" s="26" t="s">
        <v>452</v>
      </c>
      <c r="E247" s="21"/>
      <c r="F247" s="21"/>
      <c r="G247" s="21"/>
      <c r="H247" s="21"/>
      <c r="I247" s="21"/>
      <c r="J247" s="21"/>
      <c r="K247" s="21"/>
      <c r="L247" s="21"/>
      <c r="M247" s="22" t="s">
        <v>489</v>
      </c>
      <c r="N247" s="45" t="s">
        <v>490</v>
      </c>
      <c r="O247" s="45"/>
      <c r="P247" s="23"/>
      <c r="Q247" s="24"/>
    </row>
    <row r="248" s="20" customFormat="1" customHeight="1" spans="1:17">
      <c r="A248" s="19"/>
      <c r="B248" s="26" t="s">
        <v>427</v>
      </c>
      <c r="C248" s="31">
        <f>SUBTOTAL(103,$B$1:B248)-1</f>
        <v>247</v>
      </c>
      <c r="D248" s="26" t="s">
        <v>375</v>
      </c>
      <c r="E248" s="26" t="s">
        <v>195</v>
      </c>
      <c r="F248" s="26" t="s">
        <v>429</v>
      </c>
      <c r="G248" s="21"/>
      <c r="H248" s="21"/>
      <c r="I248" s="21"/>
      <c r="J248" s="21"/>
      <c r="K248" s="21"/>
      <c r="L248" s="21"/>
      <c r="M248" s="22" t="s">
        <v>491</v>
      </c>
      <c r="N248" s="45" t="s">
        <v>492</v>
      </c>
      <c r="O248" s="45" t="s">
        <v>493</v>
      </c>
      <c r="P248" s="23"/>
      <c r="Q248" s="24"/>
    </row>
    <row r="249" customHeight="1" spans="1:17">
      <c r="B249" s="26" t="s">
        <v>427</v>
      </c>
      <c r="C249" s="31">
        <f>SUBTOTAL(103,$B$1:B249)-1</f>
        <v>248</v>
      </c>
      <c r="D249" s="26" t="s">
        <v>378</v>
      </c>
      <c r="E249" s="26" t="s">
        <v>195</v>
      </c>
      <c r="F249" s="26" t="s">
        <v>429</v>
      </c>
      <c r="L249" s="26"/>
      <c r="M249" s="22" t="s">
        <v>494</v>
      </c>
      <c r="N249" s="45" t="s">
        <v>495</v>
      </c>
      <c r="O249" s="45" t="s">
        <v>496</v>
      </c>
    </row>
    <row r="250" customHeight="1" spans="1:17">
      <c r="B250" s="26" t="s">
        <v>418</v>
      </c>
      <c r="C250" s="31">
        <f>SUBTOTAL(103,$B$1:B250)-1</f>
        <v>249</v>
      </c>
      <c r="D250" s="26" t="s">
        <v>391</v>
      </c>
      <c r="E250" s="26" t="s">
        <v>184</v>
      </c>
      <c r="M250" s="22" t="s">
        <v>497</v>
      </c>
    </row>
    <row r="251" customHeight="1" spans="1:17">
      <c r="B251" s="26" t="s">
        <v>413</v>
      </c>
      <c r="C251" s="31">
        <f>SUBTOTAL(103,$B$1:B251)-1</f>
        <v>250</v>
      </c>
      <c r="D251" s="26" t="s">
        <v>391</v>
      </c>
      <c r="M251" s="22" t="s">
        <v>498</v>
      </c>
      <c r="N251" s="45" t="s">
        <v>499</v>
      </c>
      <c r="O251" s="45"/>
    </row>
    <row r="252" customHeight="1" spans="1:17">
      <c r="B252" s="26" t="s">
        <v>427</v>
      </c>
      <c r="C252" s="31">
        <f>SUBTOTAL(103,$B$1:B252)-1</f>
        <v>251</v>
      </c>
      <c r="D252" s="26" t="s">
        <v>378</v>
      </c>
      <c r="E252" s="26" t="s">
        <v>195</v>
      </c>
      <c r="F252" s="26" t="s">
        <v>429</v>
      </c>
      <c r="M252" s="22" t="s">
        <v>500</v>
      </c>
      <c r="N252" s="45" t="s">
        <v>501</v>
      </c>
      <c r="O252" s="45" t="s">
        <v>502</v>
      </c>
    </row>
    <row r="253" customHeight="1" spans="1:17">
      <c r="B253" s="26" t="s">
        <v>413</v>
      </c>
      <c r="C253" s="31">
        <f>SUBTOTAL(103,$B$1:B253)-1</f>
        <v>252</v>
      </c>
      <c r="D253" s="26" t="s">
        <v>375</v>
      </c>
      <c r="M253" s="22" t="s">
        <v>503</v>
      </c>
      <c r="N253" s="45" t="s">
        <v>504</v>
      </c>
      <c r="O253" s="45"/>
    </row>
    <row r="254" customHeight="1" spans="1:17">
      <c r="B254" s="26" t="s">
        <v>427</v>
      </c>
      <c r="C254" s="31">
        <f>SUBTOTAL(103,$B$1:B254)-1</f>
        <v>253</v>
      </c>
      <c r="D254" s="26" t="s">
        <v>383</v>
      </c>
      <c r="E254" s="26" t="s">
        <v>230</v>
      </c>
      <c r="F254" s="26" t="s">
        <v>429</v>
      </c>
      <c r="M254" s="22" t="s">
        <v>505</v>
      </c>
      <c r="N254" s="45" t="s">
        <v>506</v>
      </c>
      <c r="O254" s="45" t="s">
        <v>507</v>
      </c>
    </row>
    <row r="255" customHeight="1" spans="1:17">
      <c r="B255" s="26" t="s">
        <v>418</v>
      </c>
      <c r="D255" s="26" t="s">
        <v>452</v>
      </c>
      <c r="E255" s="26" t="s">
        <v>195</v>
      </c>
      <c r="M255" s="22" t="s">
        <v>508</v>
      </c>
    </row>
    <row r="256" customHeight="1" spans="1:17">
      <c r="B256" s="26" t="s">
        <v>413</v>
      </c>
      <c r="D256" s="26" t="s">
        <v>452</v>
      </c>
      <c r="M256" s="22" t="s">
        <v>509</v>
      </c>
      <c r="N256" s="45" t="s">
        <v>510</v>
      </c>
      <c r="O256" s="45"/>
    </row>
    <row r="257" customHeight="1" spans="2:15">
      <c r="B257" s="26" t="s">
        <v>427</v>
      </c>
      <c r="C257" s="31">
        <f>SUBTOTAL(103,$B$1:B257)-1</f>
        <v>256</v>
      </c>
      <c r="D257" s="26" t="s">
        <v>383</v>
      </c>
      <c r="E257" s="26" t="s">
        <v>195</v>
      </c>
      <c r="F257" s="26" t="s">
        <v>429</v>
      </c>
      <c r="M257" s="22" t="s">
        <v>511</v>
      </c>
      <c r="N257" s="45" t="s">
        <v>512</v>
      </c>
      <c r="O257" s="45" t="s">
        <v>513</v>
      </c>
    </row>
    <row r="258" customHeight="1" spans="2:15">
      <c r="B258" s="26" t="s">
        <v>413</v>
      </c>
      <c r="D258" s="26" t="s">
        <v>383</v>
      </c>
      <c r="E258" s="26" t="s">
        <v>428</v>
      </c>
      <c r="M258" s="22" t="s">
        <v>514</v>
      </c>
      <c r="N258" s="45" t="s">
        <v>515</v>
      </c>
      <c r="O258" s="45"/>
    </row>
    <row r="259" customHeight="1" spans="2:15">
      <c r="B259" s="26" t="s">
        <v>413</v>
      </c>
      <c r="D259" s="26" t="s">
        <v>322</v>
      </c>
      <c r="M259" s="22" t="s">
        <v>516</v>
      </c>
      <c r="N259" s="45" t="s">
        <v>517</v>
      </c>
      <c r="O259" s="45"/>
    </row>
    <row r="260" customHeight="1" spans="2:15">
      <c r="B260" s="26" t="s">
        <v>427</v>
      </c>
      <c r="C260" s="31">
        <f>SUBTOTAL(103,$B$1:B260)-1</f>
        <v>259</v>
      </c>
      <c r="D260" s="26" t="s">
        <v>383</v>
      </c>
      <c r="E260" s="26" t="s">
        <v>230</v>
      </c>
      <c r="F260" s="26" t="s">
        <v>429</v>
      </c>
      <c r="M260" s="22" t="s">
        <v>518</v>
      </c>
      <c r="N260" s="45" t="s">
        <v>519</v>
      </c>
      <c r="O260" s="45" t="s">
        <v>520</v>
      </c>
    </row>
    <row r="261" customHeight="1" spans="2:15">
      <c r="B261" s="26" t="s">
        <v>413</v>
      </c>
      <c r="D261" s="26" t="s">
        <v>375</v>
      </c>
      <c r="E261" s="26"/>
      <c r="M261" s="22" t="s">
        <v>521</v>
      </c>
      <c r="N261" s="45" t="s">
        <v>522</v>
      </c>
      <c r="O261" s="45"/>
    </row>
    <row r="262" customHeight="1" spans="2:15">
      <c r="B262" s="26" t="s">
        <v>413</v>
      </c>
      <c r="D262" s="26" t="s">
        <v>383</v>
      </c>
      <c r="E262" s="26" t="s">
        <v>428</v>
      </c>
      <c r="M262" s="22" t="s">
        <v>523</v>
      </c>
      <c r="N262" s="45" t="s">
        <v>524</v>
      </c>
      <c r="O262" s="45"/>
    </row>
    <row r="263" customHeight="1" spans="2:15">
      <c r="B263" s="26" t="s">
        <v>413</v>
      </c>
      <c r="D263" s="26" t="s">
        <v>375</v>
      </c>
      <c r="E263" s="26"/>
      <c r="M263" s="22" t="s">
        <v>525</v>
      </c>
      <c r="N263" s="45" t="s">
        <v>526</v>
      </c>
      <c r="O263" s="45"/>
    </row>
    <row r="264" customHeight="1" spans="2:15">
      <c r="B264" s="26" t="s">
        <v>413</v>
      </c>
      <c r="D264" s="26" t="s">
        <v>375</v>
      </c>
      <c r="M264" s="22" t="s">
        <v>527</v>
      </c>
      <c r="N264" s="45" t="s">
        <v>528</v>
      </c>
      <c r="O264" s="45"/>
    </row>
    <row r="265" customHeight="1" spans="2:15">
      <c r="B265" s="26" t="s">
        <v>413</v>
      </c>
      <c r="D265" s="26" t="s">
        <v>375</v>
      </c>
      <c r="M265" s="22" t="s">
        <v>529</v>
      </c>
      <c r="N265" s="45" t="s">
        <v>530</v>
      </c>
      <c r="O265" s="45"/>
    </row>
    <row r="266" customHeight="1" spans="2:15">
      <c r="B266" s="26" t="s">
        <v>413</v>
      </c>
      <c r="D266" s="26" t="s">
        <v>375</v>
      </c>
      <c r="M266" s="22" t="s">
        <v>531</v>
      </c>
      <c r="N266" s="45" t="s">
        <v>532</v>
      </c>
      <c r="O266" s="45"/>
    </row>
    <row r="267" customHeight="1" spans="2:15">
      <c r="B267" s="26" t="s">
        <v>413</v>
      </c>
      <c r="D267" s="26" t="s">
        <v>375</v>
      </c>
      <c r="M267" s="22" t="s">
        <v>533</v>
      </c>
      <c r="N267" s="45" t="s">
        <v>534</v>
      </c>
      <c r="O267" s="45"/>
    </row>
    <row r="268" customHeight="1" spans="2:15">
      <c r="B268" s="26" t="s">
        <v>413</v>
      </c>
      <c r="D268" s="26" t="s">
        <v>378</v>
      </c>
      <c r="M268" s="22" t="s">
        <v>535</v>
      </c>
      <c r="N268" s="45" t="s">
        <v>536</v>
      </c>
      <c r="O268" s="45"/>
    </row>
    <row r="269" customHeight="1" spans="2:15">
      <c r="B269" s="26" t="s">
        <v>413</v>
      </c>
      <c r="D269" s="26" t="s">
        <v>375</v>
      </c>
      <c r="M269" s="22" t="s">
        <v>537</v>
      </c>
      <c r="N269" s="45" t="s">
        <v>538</v>
      </c>
      <c r="O269" s="45"/>
    </row>
    <row r="270" customHeight="1" spans="2:15">
      <c r="B270" s="26" t="s">
        <v>427</v>
      </c>
      <c r="C270" s="31">
        <f>SUBTOTAL(103,$B$1:B270)-1</f>
        <v>269</v>
      </c>
      <c r="D270" s="26" t="s">
        <v>391</v>
      </c>
      <c r="E270" s="26" t="s">
        <v>230</v>
      </c>
      <c r="F270" s="26" t="s">
        <v>429</v>
      </c>
      <c r="M270" s="22" t="s">
        <v>539</v>
      </c>
      <c r="N270" s="45" t="s">
        <v>540</v>
      </c>
      <c r="O270" s="45" t="s">
        <v>541</v>
      </c>
    </row>
    <row r="271" customHeight="1" spans="2:15">
      <c r="B271" s="26" t="s">
        <v>427</v>
      </c>
      <c r="C271" s="31">
        <f>SUBTOTAL(103,$B$1:B271)-1</f>
        <v>270</v>
      </c>
      <c r="D271" s="26" t="s">
        <v>383</v>
      </c>
      <c r="E271" s="26" t="s">
        <v>230</v>
      </c>
      <c r="F271" s="26" t="s">
        <v>429</v>
      </c>
      <c r="M271" s="22" t="s">
        <v>542</v>
      </c>
      <c r="N271" s="45" t="s">
        <v>543</v>
      </c>
      <c r="O271" s="45" t="s">
        <v>544</v>
      </c>
    </row>
    <row r="272" customHeight="1" spans="2:15">
      <c r="B272" s="26" t="s">
        <v>413</v>
      </c>
      <c r="D272" s="26" t="s">
        <v>383</v>
      </c>
      <c r="M272" s="22" t="s">
        <v>545</v>
      </c>
      <c r="N272" s="45" t="s">
        <v>546</v>
      </c>
      <c r="O272" s="45"/>
    </row>
    <row r="273" customHeight="1" spans="1:17">
      <c r="B273" s="26" t="s">
        <v>413</v>
      </c>
      <c r="D273" s="26" t="s">
        <v>452</v>
      </c>
      <c r="M273" s="22" t="s">
        <v>547</v>
      </c>
      <c r="N273" s="45" t="s">
        <v>548</v>
      </c>
      <c r="O273" s="45"/>
    </row>
    <row r="274" customHeight="1" spans="1:17">
      <c r="B274" s="26" t="s">
        <v>427</v>
      </c>
      <c r="C274" s="31">
        <f>SUBTOTAL(103,$B$1:B274)-1</f>
        <v>273</v>
      </c>
      <c r="D274" s="26" t="s">
        <v>375</v>
      </c>
      <c r="E274" s="26" t="s">
        <v>230</v>
      </c>
      <c r="F274" s="26" t="s">
        <v>429</v>
      </c>
      <c r="M274" s="22" t="s">
        <v>549</v>
      </c>
      <c r="N274" s="45" t="s">
        <v>550</v>
      </c>
      <c r="O274" s="45" t="s">
        <v>551</v>
      </c>
    </row>
    <row r="275" customHeight="1" spans="1:17">
      <c r="B275" s="26" t="s">
        <v>422</v>
      </c>
      <c r="C275" s="31">
        <f>SUBTOTAL(103,$B$1:B275)-1</f>
        <v>274</v>
      </c>
      <c r="D275" s="26" t="s">
        <v>452</v>
      </c>
      <c r="E275" s="26" t="s">
        <v>184</v>
      </c>
      <c r="M275" s="22" t="s">
        <v>552</v>
      </c>
      <c r="N275" s="22" t="s">
        <v>553</v>
      </c>
    </row>
    <row r="276" customHeight="1" spans="1:17">
      <c r="B276" s="26" t="s">
        <v>418</v>
      </c>
      <c r="C276" s="31">
        <f>SUBTOTAL(103,$B$1:B276)-1</f>
        <v>275</v>
      </c>
      <c r="D276" s="26" t="s">
        <v>375</v>
      </c>
      <c r="E276" s="26" t="s">
        <v>184</v>
      </c>
      <c r="M276" s="22" t="s">
        <v>554</v>
      </c>
      <c r="N276" s="45" t="s">
        <v>555</v>
      </c>
    </row>
    <row r="277" customHeight="1" spans="1:17">
      <c r="B277" s="26" t="s">
        <v>351</v>
      </c>
      <c r="C277" s="31">
        <f>SUBTOTAL(103,$B$1:B277)-1</f>
        <v>276</v>
      </c>
      <c r="D277" s="26" t="s">
        <v>322</v>
      </c>
      <c r="E277" s="26" t="s">
        <v>436</v>
      </c>
      <c r="M277" s="22" t="s">
        <v>556</v>
      </c>
      <c r="N277" s="45" t="s">
        <v>557</v>
      </c>
      <c r="O277" s="45" t="s">
        <v>558</v>
      </c>
    </row>
    <row r="278" customHeight="1" spans="1:17">
      <c r="B278" s="26" t="s">
        <v>351</v>
      </c>
      <c r="C278" s="31">
        <f>SUBTOTAL(103,$B$1:B278)-1</f>
        <v>277</v>
      </c>
      <c r="D278" s="26" t="s">
        <v>452</v>
      </c>
      <c r="E278" s="26" t="s">
        <v>184</v>
      </c>
      <c r="M278" s="22" t="s">
        <v>559</v>
      </c>
      <c r="N278" s="45" t="s">
        <v>560</v>
      </c>
      <c r="O278" s="45" t="s">
        <v>561</v>
      </c>
    </row>
    <row r="279" customHeight="1" spans="1:17">
      <c r="B279" s="26" t="s">
        <v>418</v>
      </c>
      <c r="C279" s="31">
        <f>SUBTOTAL(103,$B$1:B279)-1</f>
        <v>278</v>
      </c>
      <c r="D279" s="26" t="s">
        <v>452</v>
      </c>
      <c r="E279" s="26" t="s">
        <v>459</v>
      </c>
      <c r="M279" s="22" t="s">
        <v>562</v>
      </c>
      <c r="N279" s="45" t="s">
        <v>563</v>
      </c>
      <c r="O279" s="22"/>
    </row>
    <row r="280" customHeight="1" spans="1:17">
      <c r="B280" s="26" t="s">
        <v>351</v>
      </c>
      <c r="C280" s="31">
        <f>SUBTOTAL(103,$B$1:B280)-1</f>
        <v>279</v>
      </c>
      <c r="D280" s="26" t="s">
        <v>452</v>
      </c>
      <c r="E280" s="26" t="s">
        <v>459</v>
      </c>
      <c r="M280" s="22" t="s">
        <v>564</v>
      </c>
      <c r="N280" s="45" t="s">
        <v>565</v>
      </c>
      <c r="O280" s="22" t="s">
        <v>566</v>
      </c>
    </row>
    <row r="281" customHeight="1" spans="1:17">
      <c r="B281" s="26" t="s">
        <v>351</v>
      </c>
      <c r="C281" s="31">
        <f>SUBTOTAL(103,$B$1:B281)-1</f>
        <v>280</v>
      </c>
      <c r="D281" s="26" t="s">
        <v>452</v>
      </c>
      <c r="E281" s="26" t="s">
        <v>459</v>
      </c>
      <c r="M281" s="22" t="s">
        <v>567</v>
      </c>
      <c r="N281" s="45" t="s">
        <v>568</v>
      </c>
      <c r="O281" s="45" t="s">
        <v>569</v>
      </c>
    </row>
    <row r="282" customHeight="1" spans="1:17">
      <c r="B282" s="26" t="s">
        <v>418</v>
      </c>
      <c r="C282" s="31">
        <f>SUBTOTAL(103,$B$1:B282)-1</f>
        <v>281</v>
      </c>
      <c r="D282" s="26" t="s">
        <v>375</v>
      </c>
      <c r="E282" s="26" t="s">
        <v>459</v>
      </c>
      <c r="M282" s="22" t="s">
        <v>570</v>
      </c>
      <c r="N282" s="45" t="s">
        <v>571</v>
      </c>
      <c r="O282" s="22" t="s">
        <v>572</v>
      </c>
    </row>
    <row r="283" customHeight="1" spans="1:17">
      <c r="B283" s="26" t="s">
        <v>351</v>
      </c>
      <c r="C283" s="31">
        <f>SUBTOTAL(103,$B$1:B283)-1</f>
        <v>282</v>
      </c>
      <c r="D283" s="26" t="s">
        <v>452</v>
      </c>
      <c r="E283" s="26" t="s">
        <v>459</v>
      </c>
      <c r="M283" s="22" t="s">
        <v>573</v>
      </c>
      <c r="N283" s="45" t="s">
        <v>574</v>
      </c>
      <c r="O283" s="45" t="s">
        <v>575</v>
      </c>
    </row>
    <row r="284" customHeight="1" spans="1:17">
      <c r="B284" s="26" t="s">
        <v>351</v>
      </c>
      <c r="C284" s="31">
        <f>SUBTOTAL(103,$B$1:B284)-1</f>
        <v>283</v>
      </c>
      <c r="D284" s="26" t="s">
        <v>452</v>
      </c>
      <c r="E284" s="26" t="s">
        <v>459</v>
      </c>
      <c r="M284" s="22" t="s">
        <v>576</v>
      </c>
      <c r="N284" s="45" t="s">
        <v>577</v>
      </c>
      <c r="O284" s="45" t="s">
        <v>578</v>
      </c>
    </row>
    <row r="285" customHeight="1" spans="1:17">
      <c r="B285" s="26" t="s">
        <v>351</v>
      </c>
      <c r="C285" s="31">
        <f>SUBTOTAL(103,$B$1:B285)-1</f>
        <v>284</v>
      </c>
      <c r="D285" s="26" t="s">
        <v>452</v>
      </c>
      <c r="E285" s="26" t="s">
        <v>184</v>
      </c>
      <c r="M285" s="22" t="s">
        <v>579</v>
      </c>
      <c r="N285" s="45" t="s">
        <v>580</v>
      </c>
      <c r="O285" s="45" t="s">
        <v>581</v>
      </c>
    </row>
    <row r="286" customHeight="1" spans="1:17">
      <c r="A286" s="19">
        <v>189</v>
      </c>
      <c r="B286" s="26" t="s">
        <v>351</v>
      </c>
      <c r="C286" s="31">
        <f>SUBTOTAL(103,$B$1:B286)-1</f>
        <v>285</v>
      </c>
      <c r="D286" s="26" t="s">
        <v>375</v>
      </c>
      <c r="E286" s="26" t="s">
        <v>195</v>
      </c>
      <c r="I286" s="26"/>
      <c r="J286" s="26"/>
      <c r="K286" s="22"/>
      <c r="L286" s="22"/>
      <c r="M286" s="22" t="s">
        <v>343</v>
      </c>
      <c r="N286" s="45" t="s">
        <v>582</v>
      </c>
      <c r="O286" s="45" t="s">
        <v>583</v>
      </c>
      <c r="P286" s="22" t="s">
        <v>52</v>
      </c>
      <c r="Q286" s="38"/>
    </row>
    <row r="287" customHeight="1" spans="1:17">
      <c r="B287" s="26" t="s">
        <v>351</v>
      </c>
      <c r="C287" s="31">
        <f>SUBTOTAL(103,$B$1:B287)-1</f>
        <v>286</v>
      </c>
      <c r="D287" s="26" t="s">
        <v>375</v>
      </c>
      <c r="E287" s="26" t="s">
        <v>230</v>
      </c>
      <c r="M287" s="22" t="s">
        <v>584</v>
      </c>
      <c r="N287" s="45" t="s">
        <v>585</v>
      </c>
      <c r="O287" s="45" t="s">
        <v>586</v>
      </c>
    </row>
    <row r="288" customHeight="1" spans="1:17">
      <c r="B288" s="26" t="s">
        <v>418</v>
      </c>
      <c r="C288" s="31">
        <f>SUBTOTAL(103,$B$1:B288)-1</f>
        <v>287</v>
      </c>
      <c r="D288" s="26" t="s">
        <v>383</v>
      </c>
      <c r="E288" s="26" t="s">
        <v>195</v>
      </c>
      <c r="M288" s="22" t="s">
        <v>587</v>
      </c>
      <c r="N288" s="22"/>
      <c r="O288" s="22"/>
    </row>
    <row r="289" customHeight="1" spans="2:15">
      <c r="B289" s="26" t="s">
        <v>588</v>
      </c>
      <c r="C289" s="31">
        <f>SUBTOTAL(103,$B$1:B289)-1</f>
        <v>288</v>
      </c>
      <c r="D289" s="26" t="s">
        <v>383</v>
      </c>
      <c r="E289" s="26" t="s">
        <v>195</v>
      </c>
      <c r="M289" s="22" t="s">
        <v>589</v>
      </c>
      <c r="N289" s="45" t="s">
        <v>590</v>
      </c>
      <c r="O289" s="45"/>
    </row>
    <row r="290" customHeight="1" spans="2:15">
      <c r="B290" s="26" t="s">
        <v>427</v>
      </c>
      <c r="C290" s="31">
        <f>SUBTOTAL(103,$B$1:B290)-1</f>
        <v>289</v>
      </c>
      <c r="D290" s="26" t="s">
        <v>391</v>
      </c>
      <c r="E290" s="26" t="s">
        <v>230</v>
      </c>
      <c r="F290" s="26" t="s">
        <v>429</v>
      </c>
      <c r="M290" s="22" t="s">
        <v>591</v>
      </c>
      <c r="N290" s="45" t="s">
        <v>592</v>
      </c>
      <c r="O290" s="45" t="s">
        <v>593</v>
      </c>
    </row>
    <row r="291" customHeight="1" spans="2:15">
      <c r="B291" s="26" t="s">
        <v>351</v>
      </c>
      <c r="C291" s="31">
        <f>SUBTOTAL(103,$B$1:B291)-1</f>
        <v>290</v>
      </c>
      <c r="D291" s="26" t="s">
        <v>375</v>
      </c>
      <c r="E291" s="26" t="s">
        <v>184</v>
      </c>
      <c r="M291" s="22" t="s">
        <v>594</v>
      </c>
      <c r="N291" s="45" t="s">
        <v>595</v>
      </c>
      <c r="O291" s="45" t="s">
        <v>596</v>
      </c>
    </row>
    <row r="292" customHeight="1" spans="2:15">
      <c r="B292" s="26" t="s">
        <v>351</v>
      </c>
      <c r="C292" s="31">
        <f>SUBTOTAL(103,$B$1:B292)-1</f>
        <v>291</v>
      </c>
      <c r="D292" s="26" t="s">
        <v>375</v>
      </c>
      <c r="E292" s="26" t="s">
        <v>184</v>
      </c>
      <c r="M292" s="22" t="s">
        <v>597</v>
      </c>
      <c r="N292" s="45" t="s">
        <v>598</v>
      </c>
      <c r="O292" s="45" t="s">
        <v>599</v>
      </c>
    </row>
    <row r="293" customHeight="1" spans="2:15">
      <c r="B293" s="26" t="s">
        <v>351</v>
      </c>
      <c r="C293" s="31">
        <f>SUBTOTAL(103,$B$1:B293)-1</f>
        <v>292</v>
      </c>
      <c r="D293" s="26" t="s">
        <v>375</v>
      </c>
      <c r="E293" s="26" t="s">
        <v>195</v>
      </c>
      <c r="M293" s="22" t="s">
        <v>600</v>
      </c>
      <c r="N293" s="45" t="s">
        <v>601</v>
      </c>
      <c r="O293" s="45" t="s">
        <v>602</v>
      </c>
    </row>
    <row r="294" customHeight="1" spans="2:15">
      <c r="B294" s="26" t="s">
        <v>351</v>
      </c>
      <c r="C294" s="31">
        <f>SUBTOTAL(103,$B$1:B294)-1</f>
        <v>293</v>
      </c>
      <c r="D294" s="26" t="s">
        <v>375</v>
      </c>
      <c r="E294" s="26" t="s">
        <v>184</v>
      </c>
      <c r="M294" s="22" t="s">
        <v>603</v>
      </c>
      <c r="N294" s="45" t="s">
        <v>604</v>
      </c>
      <c r="O294" s="45" t="s">
        <v>605</v>
      </c>
    </row>
    <row r="295" customHeight="1" spans="2:15">
      <c r="B295" s="26" t="s">
        <v>351</v>
      </c>
      <c r="C295" s="31">
        <f>SUBTOTAL(103,$B$1:B295)-1</f>
        <v>294</v>
      </c>
      <c r="D295" s="26" t="s">
        <v>375</v>
      </c>
      <c r="E295" s="26" t="s">
        <v>184</v>
      </c>
      <c r="M295" s="22" t="s">
        <v>606</v>
      </c>
      <c r="N295" s="45" t="s">
        <v>607</v>
      </c>
      <c r="O295" s="45" t="s">
        <v>608</v>
      </c>
    </row>
    <row r="296" customHeight="1" spans="2:15">
      <c r="B296" s="26" t="s">
        <v>351</v>
      </c>
      <c r="C296" s="31">
        <f>SUBTOTAL(103,$B$1:B296)-1</f>
        <v>295</v>
      </c>
      <c r="D296" s="26" t="s">
        <v>378</v>
      </c>
      <c r="E296" s="26" t="s">
        <v>184</v>
      </c>
      <c r="M296" s="22" t="s">
        <v>609</v>
      </c>
      <c r="N296" s="45" t="s">
        <v>610</v>
      </c>
      <c r="O296" s="45" t="s">
        <v>611</v>
      </c>
    </row>
    <row r="297" customHeight="1" spans="2:15">
      <c r="B297" s="26" t="s">
        <v>351</v>
      </c>
      <c r="C297" s="31">
        <f>SUBTOTAL(103,$B$1:B297)-1</f>
        <v>296</v>
      </c>
      <c r="D297" s="26" t="s">
        <v>378</v>
      </c>
      <c r="E297" s="26" t="s">
        <v>195</v>
      </c>
      <c r="M297" s="22" t="s">
        <v>612</v>
      </c>
      <c r="N297" s="45" t="s">
        <v>613</v>
      </c>
      <c r="O297" s="45" t="s">
        <v>614</v>
      </c>
    </row>
    <row r="298" ht="68.25" customHeight="1" spans="2:15">
      <c r="B298" s="26" t="s">
        <v>351</v>
      </c>
      <c r="C298" s="31">
        <f>SUBTOTAL(103,$B$1:B298)-1</f>
        <v>297</v>
      </c>
      <c r="D298" s="26" t="s">
        <v>378</v>
      </c>
      <c r="E298" s="26" t="s">
        <v>184</v>
      </c>
      <c r="M298" s="22" t="s">
        <v>615</v>
      </c>
      <c r="N298" s="45" t="s">
        <v>616</v>
      </c>
      <c r="O298" s="45" t="s">
        <v>617</v>
      </c>
    </row>
    <row r="299" ht="55" spans="2:15">
      <c r="B299" s="26" t="s">
        <v>351</v>
      </c>
      <c r="C299" s="31">
        <f>SUBTOTAL(103,$B$1:B299)-1</f>
        <v>298</v>
      </c>
      <c r="D299" s="26" t="s">
        <v>383</v>
      </c>
      <c r="E299" s="26" t="s">
        <v>230</v>
      </c>
      <c r="M299" s="22" t="s">
        <v>618</v>
      </c>
      <c r="N299" s="45" t="s">
        <v>619</v>
      </c>
      <c r="O299" s="45" t="s">
        <v>620</v>
      </c>
    </row>
    <row r="300" customHeight="1" spans="2:15">
      <c r="B300" s="26" t="s">
        <v>588</v>
      </c>
      <c r="D300" s="26" t="s">
        <v>378</v>
      </c>
      <c r="E300" s="26" t="s">
        <v>184</v>
      </c>
      <c r="M300" s="22" t="s">
        <v>621</v>
      </c>
      <c r="N300" s="45" t="s">
        <v>622</v>
      </c>
      <c r="O300" s="45" t="s">
        <v>623</v>
      </c>
    </row>
    <row r="301" customHeight="1" spans="2:15">
      <c r="B301" s="26" t="s">
        <v>422</v>
      </c>
      <c r="E301" s="26" t="s">
        <v>184</v>
      </c>
      <c r="M301" s="22" t="s">
        <v>624</v>
      </c>
    </row>
    <row r="302" customHeight="1" spans="2:15">
      <c r="B302" s="26" t="s">
        <v>422</v>
      </c>
      <c r="E302" s="26" t="s">
        <v>184</v>
      </c>
      <c r="M302" s="22" t="s">
        <v>625</v>
      </c>
    </row>
    <row r="303" customHeight="1" spans="2:15">
      <c r="B303" s="26" t="s">
        <v>588</v>
      </c>
      <c r="E303" s="26" t="s">
        <v>184</v>
      </c>
      <c r="M303" s="22" t="s">
        <v>626</v>
      </c>
    </row>
    <row r="304" ht="123" spans="2:15">
      <c r="B304" s="26" t="s">
        <v>351</v>
      </c>
      <c r="C304" s="31">
        <f>SUBTOTAL(103,$B$1:B304)-1</f>
        <v>303</v>
      </c>
      <c r="D304" s="26" t="s">
        <v>383</v>
      </c>
      <c r="E304" s="26" t="s">
        <v>195</v>
      </c>
      <c r="M304" s="22" t="s">
        <v>627</v>
      </c>
      <c r="N304" s="45" t="s">
        <v>628</v>
      </c>
      <c r="O304" s="45" t="s">
        <v>629</v>
      </c>
    </row>
    <row r="305" customHeight="1" spans="2:15">
      <c r="B305" s="26" t="s">
        <v>351</v>
      </c>
      <c r="C305" s="31">
        <f>SUBTOTAL(103,$B$1:B305)-1</f>
        <v>304</v>
      </c>
      <c r="D305" s="26" t="s">
        <v>391</v>
      </c>
      <c r="E305" s="26" t="s">
        <v>459</v>
      </c>
      <c r="M305" s="22" t="s">
        <v>630</v>
      </c>
      <c r="N305" s="45" t="s">
        <v>631</v>
      </c>
      <c r="O305" s="45" t="s">
        <v>632</v>
      </c>
    </row>
    <row r="306" customHeight="1" spans="2:15">
      <c r="B306" s="26" t="s">
        <v>351</v>
      </c>
      <c r="C306" s="31">
        <f>SUBTOTAL(103,$B$1:B306)-1</f>
        <v>305</v>
      </c>
      <c r="D306" s="26" t="s">
        <v>391</v>
      </c>
      <c r="E306" s="26" t="s">
        <v>230</v>
      </c>
      <c r="M306" s="22" t="s">
        <v>633</v>
      </c>
      <c r="N306" s="45" t="s">
        <v>634</v>
      </c>
      <c r="O306" s="45" t="s">
        <v>635</v>
      </c>
    </row>
    <row r="307" customHeight="1" spans="2:15">
      <c r="B307" s="26" t="s">
        <v>351</v>
      </c>
      <c r="C307" s="31">
        <f>SUBTOTAL(103,$B$1:B307)-1</f>
        <v>306</v>
      </c>
      <c r="D307" s="26" t="s">
        <v>322</v>
      </c>
      <c r="E307" s="26" t="s">
        <v>636</v>
      </c>
      <c r="M307" s="22" t="s">
        <v>637</v>
      </c>
      <c r="N307" s="45" t="s">
        <v>638</v>
      </c>
      <c r="O307" s="45" t="s">
        <v>639</v>
      </c>
    </row>
    <row r="308" customHeight="1" spans="2:15">
      <c r="B308" s="26" t="s">
        <v>351</v>
      </c>
      <c r="C308" s="31">
        <f>SUBTOTAL(103,$B$1:B308)-1</f>
        <v>307</v>
      </c>
      <c r="D308" s="26" t="s">
        <v>322</v>
      </c>
      <c r="E308" s="26" t="s">
        <v>636</v>
      </c>
      <c r="M308" s="22" t="s">
        <v>640</v>
      </c>
      <c r="N308" s="45" t="s">
        <v>641</v>
      </c>
      <c r="O308" s="45" t="s">
        <v>642</v>
      </c>
    </row>
    <row r="309" customHeight="1" spans="2:15">
      <c r="B309" s="26" t="s">
        <v>422</v>
      </c>
      <c r="C309" s="31">
        <f>SUBTOTAL(103,$B$1:B309)-1</f>
        <v>308</v>
      </c>
      <c r="D309" s="26" t="s">
        <v>322</v>
      </c>
      <c r="E309" s="26" t="s">
        <v>636</v>
      </c>
      <c r="M309" s="22" t="s">
        <v>643</v>
      </c>
    </row>
    <row r="310" customHeight="1" spans="2:15">
      <c r="B310" s="26" t="s">
        <v>351</v>
      </c>
      <c r="C310" s="31">
        <f>SUBTOTAL(103,$B$1:B310)-1</f>
        <v>309</v>
      </c>
      <c r="D310" s="26" t="s">
        <v>452</v>
      </c>
      <c r="E310" s="26" t="s">
        <v>636</v>
      </c>
      <c r="M310" s="22" t="s">
        <v>644</v>
      </c>
      <c r="N310" s="45" t="s">
        <v>645</v>
      </c>
      <c r="O310" s="45" t="s">
        <v>646</v>
      </c>
    </row>
    <row r="311" customHeight="1" spans="2:15">
      <c r="B311" s="26" t="s">
        <v>351</v>
      </c>
      <c r="C311" s="31">
        <f>SUBTOTAL(103,$B$1:B311)-1</f>
        <v>310</v>
      </c>
      <c r="D311" s="26" t="s">
        <v>452</v>
      </c>
      <c r="E311" s="26" t="s">
        <v>636</v>
      </c>
      <c r="M311" s="22" t="s">
        <v>647</v>
      </c>
      <c r="N311" s="45" t="s">
        <v>648</v>
      </c>
      <c r="O311" s="45" t="s">
        <v>649</v>
      </c>
    </row>
    <row r="312" customHeight="1" spans="2:15">
      <c r="B312" s="26" t="s">
        <v>351</v>
      </c>
      <c r="C312" s="31">
        <f>SUBTOTAL(103,$B$1:B312)-1</f>
        <v>311</v>
      </c>
      <c r="D312" s="26" t="s">
        <v>375</v>
      </c>
      <c r="E312" s="26" t="s">
        <v>195</v>
      </c>
      <c r="M312" s="22" t="s">
        <v>650</v>
      </c>
      <c r="N312" s="45" t="s">
        <v>651</v>
      </c>
      <c r="O312" s="45" t="s">
        <v>652</v>
      </c>
    </row>
    <row r="313" customHeight="1" spans="2:15">
      <c r="B313" s="26" t="s">
        <v>351</v>
      </c>
      <c r="C313" s="31">
        <f>SUBTOTAL(103,$B$1:B313)-1</f>
        <v>312</v>
      </c>
      <c r="D313" s="26" t="s">
        <v>383</v>
      </c>
      <c r="E313" s="26" t="s">
        <v>230</v>
      </c>
      <c r="M313" s="22" t="s">
        <v>653</v>
      </c>
      <c r="N313" s="45" t="s">
        <v>654</v>
      </c>
      <c r="O313" s="45" t="s">
        <v>655</v>
      </c>
    </row>
    <row r="314" customHeight="1" spans="2:15">
      <c r="B314" s="26" t="s">
        <v>351</v>
      </c>
      <c r="C314" s="31">
        <f>SUBTOTAL(103,$B$1:B314)-1</f>
        <v>313</v>
      </c>
      <c r="D314" s="26" t="s">
        <v>452</v>
      </c>
      <c r="E314" s="26" t="s">
        <v>230</v>
      </c>
      <c r="M314" s="22" t="s">
        <v>656</v>
      </c>
      <c r="N314" s="45" t="s">
        <v>657</v>
      </c>
      <c r="O314" s="45" t="s">
        <v>658</v>
      </c>
    </row>
    <row r="315" customHeight="1" spans="2:15">
      <c r="B315" s="26" t="s">
        <v>588</v>
      </c>
      <c r="E315" s="26" t="s">
        <v>436</v>
      </c>
      <c r="M315" s="22" t="s">
        <v>659</v>
      </c>
      <c r="N315" s="45" t="s">
        <v>660</v>
      </c>
    </row>
    <row r="316" customHeight="1" spans="2:15">
      <c r="B316" s="26" t="s">
        <v>588</v>
      </c>
      <c r="D316" s="26" t="s">
        <v>383</v>
      </c>
      <c r="M316" s="22" t="s">
        <v>661</v>
      </c>
    </row>
    <row r="317" customHeight="1" spans="2:15">
      <c r="B317" s="26" t="s">
        <v>588</v>
      </c>
      <c r="D317" s="26" t="s">
        <v>452</v>
      </c>
      <c r="M317" s="22" t="s">
        <v>662</v>
      </c>
    </row>
    <row r="318" customHeight="1" spans="2:15">
      <c r="B318" s="26" t="s">
        <v>588</v>
      </c>
      <c r="D318" s="26" t="s">
        <v>452</v>
      </c>
      <c r="M318" s="22" t="s">
        <v>663</v>
      </c>
    </row>
    <row r="319" customHeight="1" spans="2:15">
      <c r="B319" s="26" t="s">
        <v>422</v>
      </c>
      <c r="D319" s="26" t="s">
        <v>452</v>
      </c>
      <c r="M319" s="22" t="s">
        <v>664</v>
      </c>
    </row>
    <row r="320" customHeight="1" spans="2:15">
      <c r="B320" s="26" t="s">
        <v>588</v>
      </c>
      <c r="M320" s="22" t="s">
        <v>665</v>
      </c>
      <c r="N320" s="45" t="s">
        <v>666</v>
      </c>
    </row>
    <row r="321" customHeight="1" spans="2:15">
      <c r="B321" s="26" t="s">
        <v>418</v>
      </c>
      <c r="M321" s="22" t="s">
        <v>667</v>
      </c>
    </row>
    <row r="322" customHeight="1" spans="2:15">
      <c r="B322" s="26" t="s">
        <v>418</v>
      </c>
      <c r="D322" s="26" t="s">
        <v>378</v>
      </c>
      <c r="M322" s="22" t="s">
        <v>668</v>
      </c>
    </row>
    <row r="323" customHeight="1" spans="2:15">
      <c r="B323" s="26" t="s">
        <v>418</v>
      </c>
      <c r="M323" s="22" t="s">
        <v>669</v>
      </c>
    </row>
    <row r="324" customHeight="1" spans="2:15">
      <c r="B324" s="26" t="s">
        <v>418</v>
      </c>
    </row>
    <row r="325" customHeight="1" spans="2:15">
      <c r="B325" s="26" t="s">
        <v>418</v>
      </c>
      <c r="C325" s="31">
        <f>SUBTOTAL(103,$B$1:B325)-1</f>
        <v>324</v>
      </c>
      <c r="D325" s="26" t="s">
        <v>383</v>
      </c>
      <c r="E325" s="26" t="s">
        <v>184</v>
      </c>
      <c r="M325" s="22" t="s">
        <v>670</v>
      </c>
      <c r="N325" s="45" t="s">
        <v>671</v>
      </c>
      <c r="O325" s="45" t="s">
        <v>672</v>
      </c>
    </row>
  </sheetData>
  <sheetProtection formatCells="0" formatColumns="0" formatRows="0" insertRows="0" insertColumns="0" insertHyperlinks="0" deleteColumns="0" deleteRows="0" sort="0" autoFilter="0" pivotTables="0"/>
  <autoFilter xmlns:etc="http://www.wps.cn/officeDocument/2017/etCustomData" ref="A1:Q325" etc:filterBottomFollowUsedRange="1">
    <extLst/>
  </autoFilter>
  <conditionalFormatting sqref="M$1:O$1048576">
    <cfRule type="expression" dxfId="0" priority="2">
      <formula>AND(SUMPRODUCT(IFERROR(1*(($M$1:$O$1048576&amp;"x")=(M1&amp;"x")),0))&gt;1,NOT(ISBLANK(M1)))</formula>
    </cfRule>
  </conditionalFormatting>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64"/>
  <sheetViews>
    <sheetView zoomScale="85" zoomScaleNormal="85" topLeftCell="F1" workbookViewId="0">
      <pane ySplit="2" topLeftCell="A3" activePane="bottomLeft" state="frozen"/>
      <selection/>
      <selection pane="bottomLeft" activeCell="F3" sqref="F3"/>
    </sheetView>
  </sheetViews>
  <sheetFormatPr defaultColWidth="9.91346153846154" defaultRowHeight="16.8"/>
  <cols>
    <col min="1" max="1" width="2.375" style="16" customWidth="1"/>
    <col min="2" max="2" width="5.125" style="16" customWidth="1"/>
    <col min="3" max="3" width="19.125" style="16" customWidth="1"/>
    <col min="4" max="4" width="23.375" style="16" customWidth="1"/>
    <col min="5" max="5" width="22.7211538461538" style="16" customWidth="1"/>
    <col min="6" max="6" width="24.9711538461538" style="16" customWidth="1"/>
    <col min="7" max="7" width="33.375" style="16" hidden="1" customWidth="1"/>
    <col min="8" max="8" width="8.875" style="16" hidden="1" customWidth="1"/>
    <col min="9" max="9" width="30.8269230769231" style="16" customWidth="1"/>
    <col min="10" max="10" width="51.875" style="16" customWidth="1"/>
    <col min="11" max="12" width="39.3076923076923" style="16" hidden="1" customWidth="1"/>
    <col min="13" max="13" width="15" style="16" customWidth="1"/>
    <col min="14" max="14" width="7" style="16" hidden="1" customWidth="1"/>
    <col min="15" max="15" width="5.125" style="16" hidden="1" customWidth="1"/>
    <col min="16" max="16" width="15.2596153846154" style="16" customWidth="1"/>
    <col min="17" max="17" width="10.125" style="16" customWidth="1"/>
    <col min="18" max="18" width="15.625" style="16" customWidth="1"/>
    <col min="19" max="16384" width="9.02884615384615" style="16"/>
  </cols>
  <sheetData>
    <row r="1" spans="1:18">
      <c r="L1" s="16" t="s">
        <v>673</v>
      </c>
    </row>
    <row r="2" spans="1:18">
      <c r="B2" s="16" t="s">
        <v>674</v>
      </c>
      <c r="C2" s="16" t="s">
        <v>675</v>
      </c>
      <c r="D2" s="16" t="s">
        <v>675</v>
      </c>
      <c r="E2" s="16" t="s">
        <v>676</v>
      </c>
      <c r="F2" s="16" t="s">
        <v>677</v>
      </c>
      <c r="G2" s="16" t="s">
        <v>678</v>
      </c>
      <c r="H2" s="16" t="s">
        <v>679</v>
      </c>
      <c r="I2" s="16" t="s">
        <v>15</v>
      </c>
      <c r="J2" s="16" t="s">
        <v>11</v>
      </c>
      <c r="K2" s="16" t="s">
        <v>680</v>
      </c>
      <c r="M2" s="16" t="s">
        <v>2</v>
      </c>
      <c r="N2" s="16" t="s">
        <v>681</v>
      </c>
      <c r="O2" s="16" t="s">
        <v>682</v>
      </c>
      <c r="P2" s="16" t="s">
        <v>1</v>
      </c>
      <c r="Q2" s="17">
        <v>45383</v>
      </c>
    </row>
    <row r="3" spans="1:18">
      <c r="A3" s="16">
        <v>1</v>
      </c>
      <c r="C3" s="16">
        <v>100000</v>
      </c>
      <c r="D3" s="16">
        <v>30000</v>
      </c>
      <c r="E3" s="16">
        <v>20000</v>
      </c>
      <c r="F3" s="16">
        <v>10000</v>
      </c>
      <c r="G3" s="16">
        <v>5000</v>
      </c>
      <c r="H3" s="16">
        <v>3000</v>
      </c>
      <c r="I3" s="16">
        <v>2000</v>
      </c>
      <c r="J3" s="16">
        <v>1000</v>
      </c>
      <c r="K3" s="16">
        <v>300</v>
      </c>
      <c r="P3" s="16" t="s">
        <v>683</v>
      </c>
      <c r="Q3" s="16" t="s">
        <v>684</v>
      </c>
      <c r="R3" s="16" t="s">
        <v>685</v>
      </c>
    </row>
    <row r="4" spans="1:18">
      <c r="J4" s="16" t="s">
        <v>259</v>
      </c>
      <c r="K4" s="16" t="s">
        <v>686</v>
      </c>
      <c r="M4" s="16" t="s">
        <v>149</v>
      </c>
      <c r="P4" s="16" t="s">
        <v>683</v>
      </c>
      <c r="Q4" s="16" t="s">
        <v>687</v>
      </c>
      <c r="R4" s="16" t="s">
        <v>688</v>
      </c>
    </row>
    <row r="5" spans="1:18">
      <c r="J5" s="16" t="s">
        <v>689</v>
      </c>
      <c r="M5" s="16" t="s">
        <v>149</v>
      </c>
      <c r="P5" s="16" t="s">
        <v>683</v>
      </c>
      <c r="Q5" s="16" t="s">
        <v>690</v>
      </c>
      <c r="R5" s="16" t="s">
        <v>691</v>
      </c>
    </row>
    <row r="6" spans="1:18">
      <c r="I6" s="16" t="s">
        <v>692</v>
      </c>
      <c r="J6" s="16" t="s">
        <v>693</v>
      </c>
      <c r="M6" s="16" t="s">
        <v>149</v>
      </c>
      <c r="P6" s="16" t="s">
        <v>683</v>
      </c>
      <c r="Q6" s="16" t="s">
        <v>687</v>
      </c>
      <c r="R6" s="16" t="s">
        <v>694</v>
      </c>
    </row>
    <row r="7" spans="1:18">
      <c r="C7" s="16" t="s">
        <v>695</v>
      </c>
      <c r="D7" s="16" t="s">
        <v>696</v>
      </c>
      <c r="E7" s="16" t="s">
        <v>697</v>
      </c>
      <c r="F7" s="16" t="s">
        <v>698</v>
      </c>
      <c r="I7" s="16" t="s">
        <v>699</v>
      </c>
      <c r="J7" s="16" t="s">
        <v>312</v>
      </c>
      <c r="L7" s="16" t="s">
        <v>700</v>
      </c>
      <c r="M7" s="16" t="s">
        <v>77</v>
      </c>
      <c r="P7" s="16" t="s">
        <v>683</v>
      </c>
      <c r="Q7" s="16" t="s">
        <v>701</v>
      </c>
      <c r="R7" s="16" t="s">
        <v>702</v>
      </c>
    </row>
    <row r="8" spans="1:18">
      <c r="I8" s="16" t="s">
        <v>699</v>
      </c>
      <c r="J8" s="16" t="s">
        <v>703</v>
      </c>
      <c r="L8" s="16" t="s">
        <v>700</v>
      </c>
      <c r="M8" s="16" t="s">
        <v>77</v>
      </c>
      <c r="P8" s="16" t="s">
        <v>683</v>
      </c>
      <c r="Q8" s="16" t="s">
        <v>701</v>
      </c>
      <c r="R8" s="16" t="s">
        <v>685</v>
      </c>
    </row>
    <row r="9" spans="1:18">
      <c r="J9" s="18" t="s">
        <v>704</v>
      </c>
      <c r="M9" s="16" t="s">
        <v>17</v>
      </c>
      <c r="P9" s="16" t="s">
        <v>683</v>
      </c>
      <c r="Q9" s="16" t="s">
        <v>701</v>
      </c>
      <c r="R9" s="16" t="s">
        <v>705</v>
      </c>
    </row>
    <row r="10" spans="1:18">
      <c r="I10" s="16" t="s">
        <v>706</v>
      </c>
      <c r="J10" s="18" t="s">
        <v>707</v>
      </c>
      <c r="M10" s="16" t="s">
        <v>149</v>
      </c>
      <c r="P10" s="16" t="s">
        <v>683</v>
      </c>
      <c r="Q10" s="16" t="s">
        <v>687</v>
      </c>
      <c r="R10" s="16" t="s">
        <v>685</v>
      </c>
    </row>
    <row r="11" spans="1:18">
      <c r="I11" s="16" t="s">
        <v>706</v>
      </c>
      <c r="J11" s="18" t="s">
        <v>708</v>
      </c>
      <c r="M11" s="16" t="s">
        <v>149</v>
      </c>
      <c r="P11" s="16" t="s">
        <v>683</v>
      </c>
      <c r="Q11" s="16" t="s">
        <v>690</v>
      </c>
      <c r="R11" s="16" t="s">
        <v>688</v>
      </c>
    </row>
    <row r="12" ht="14" customHeight="1" spans="1:18">
      <c r="C12" s="16" t="s">
        <v>695</v>
      </c>
      <c r="D12" s="16" t="s">
        <v>709</v>
      </c>
      <c r="E12" s="16" t="s">
        <v>710</v>
      </c>
      <c r="F12" s="18" t="s">
        <v>228</v>
      </c>
      <c r="G12" s="18"/>
      <c r="H12" s="18"/>
      <c r="I12" s="18" t="s">
        <v>228</v>
      </c>
      <c r="J12" s="18" t="s">
        <v>229</v>
      </c>
      <c r="K12" s="16" t="s">
        <v>711</v>
      </c>
      <c r="M12" s="18" t="s">
        <v>77</v>
      </c>
      <c r="N12" s="18"/>
      <c r="O12" s="18"/>
      <c r="P12" s="16" t="s">
        <v>683</v>
      </c>
      <c r="Q12" s="16" t="s">
        <v>701</v>
      </c>
      <c r="R12" s="16" t="s">
        <v>712</v>
      </c>
    </row>
    <row r="13" spans="1:18">
      <c r="C13" s="16" t="s">
        <v>695</v>
      </c>
      <c r="D13" s="16" t="s">
        <v>709</v>
      </c>
      <c r="E13" s="16" t="s">
        <v>710</v>
      </c>
      <c r="F13" s="18" t="s">
        <v>228</v>
      </c>
      <c r="G13" s="18"/>
      <c r="H13" s="18"/>
      <c r="I13" s="18" t="s">
        <v>228</v>
      </c>
      <c r="J13" s="18" t="s">
        <v>713</v>
      </c>
      <c r="K13" s="16" t="s">
        <v>711</v>
      </c>
      <c r="M13" s="18" t="s">
        <v>77</v>
      </c>
      <c r="N13" s="18"/>
      <c r="O13" s="18"/>
      <c r="P13" s="16" t="s">
        <v>683</v>
      </c>
      <c r="Q13" s="16" t="s">
        <v>701</v>
      </c>
      <c r="R13" s="16" t="s">
        <v>712</v>
      </c>
    </row>
    <row r="14" spans="1:18">
      <c r="C14" s="16" t="s">
        <v>695</v>
      </c>
      <c r="D14" s="16" t="s">
        <v>714</v>
      </c>
      <c r="E14" s="18" t="s">
        <v>715</v>
      </c>
      <c r="F14" s="16" t="s">
        <v>716</v>
      </c>
      <c r="I14" s="16" t="s">
        <v>717</v>
      </c>
      <c r="J14" s="16" t="s">
        <v>718</v>
      </c>
      <c r="K14" s="16" t="s">
        <v>711</v>
      </c>
      <c r="M14" s="16" t="s">
        <v>77</v>
      </c>
      <c r="N14" s="18"/>
      <c r="O14" s="18"/>
      <c r="P14" s="16" t="s">
        <v>683</v>
      </c>
      <c r="Q14" s="16" t="s">
        <v>701</v>
      </c>
      <c r="R14" s="16" t="s">
        <v>712</v>
      </c>
    </row>
    <row r="15" spans="1:18">
      <c r="C15" s="16" t="s">
        <v>695</v>
      </c>
      <c r="D15" s="16" t="s">
        <v>714</v>
      </c>
      <c r="E15" s="18" t="s">
        <v>715</v>
      </c>
      <c r="F15" s="16" t="s">
        <v>716</v>
      </c>
      <c r="I15" s="16" t="s">
        <v>717</v>
      </c>
      <c r="J15" s="16" t="s">
        <v>719</v>
      </c>
      <c r="K15" s="16" t="s">
        <v>720</v>
      </c>
      <c r="M15" s="16" t="s">
        <v>77</v>
      </c>
      <c r="N15" s="18"/>
      <c r="O15" s="18"/>
      <c r="P15" s="16" t="s">
        <v>683</v>
      </c>
      <c r="Q15" s="16" t="s">
        <v>701</v>
      </c>
      <c r="R15" s="16" t="s">
        <v>712</v>
      </c>
    </row>
    <row r="16" spans="1:18">
      <c r="C16" s="16" t="s">
        <v>695</v>
      </c>
      <c r="D16" s="16" t="s">
        <v>714</v>
      </c>
      <c r="E16" s="18" t="s">
        <v>715</v>
      </c>
      <c r="F16" s="16" t="s">
        <v>716</v>
      </c>
      <c r="I16" s="16" t="s">
        <v>717</v>
      </c>
      <c r="J16" s="16" t="s">
        <v>721</v>
      </c>
      <c r="K16" s="16" t="s">
        <v>722</v>
      </c>
      <c r="M16" s="16" t="s">
        <v>77</v>
      </c>
      <c r="N16" s="18"/>
      <c r="O16" s="18"/>
      <c r="P16" s="16" t="s">
        <v>683</v>
      </c>
      <c r="Q16" s="16" t="s">
        <v>701</v>
      </c>
      <c r="R16" s="16" t="s">
        <v>712</v>
      </c>
    </row>
    <row r="17" spans="3:18">
      <c r="C17" s="16" t="s">
        <v>723</v>
      </c>
      <c r="D17" s="16" t="s">
        <v>724</v>
      </c>
      <c r="E17" s="18" t="s">
        <v>725</v>
      </c>
      <c r="F17" s="18" t="s">
        <v>726</v>
      </c>
      <c r="G17" s="18"/>
      <c r="H17" s="18"/>
      <c r="I17" s="18" t="s">
        <v>727</v>
      </c>
      <c r="J17" s="18" t="s">
        <v>728</v>
      </c>
      <c r="M17" s="16" t="s">
        <v>149</v>
      </c>
      <c r="N17" s="18"/>
      <c r="O17" s="18"/>
      <c r="P17" s="16" t="s">
        <v>683</v>
      </c>
      <c r="Q17" s="16" t="s">
        <v>690</v>
      </c>
      <c r="R17" s="16" t="s">
        <v>688</v>
      </c>
    </row>
    <row r="18" spans="3:18">
      <c r="C18" s="16" t="s">
        <v>723</v>
      </c>
      <c r="D18" s="16" t="s">
        <v>729</v>
      </c>
      <c r="E18" s="18" t="s">
        <v>730</v>
      </c>
      <c r="F18" s="18" t="s">
        <v>731</v>
      </c>
      <c r="G18" s="18"/>
      <c r="H18" s="18"/>
      <c r="I18" s="18" t="s">
        <v>256</v>
      </c>
      <c r="J18" s="18" t="s">
        <v>732</v>
      </c>
      <c r="M18" s="18"/>
      <c r="N18" s="18"/>
      <c r="O18" s="18"/>
      <c r="P18" s="16" t="s">
        <v>683</v>
      </c>
      <c r="Q18" s="16" t="s">
        <v>701</v>
      </c>
      <c r="R18" s="16" t="s">
        <v>685</v>
      </c>
    </row>
    <row r="19" spans="3:18">
      <c r="C19" s="16" t="s">
        <v>723</v>
      </c>
      <c r="D19" s="16" t="s">
        <v>729</v>
      </c>
      <c r="E19" s="18" t="s">
        <v>730</v>
      </c>
      <c r="F19" s="18" t="s">
        <v>731</v>
      </c>
      <c r="G19" s="18"/>
      <c r="H19" s="18"/>
      <c r="I19" s="18" t="s">
        <v>256</v>
      </c>
      <c r="J19" s="18" t="s">
        <v>733</v>
      </c>
      <c r="M19" s="18"/>
      <c r="N19" s="18"/>
      <c r="O19" s="18"/>
      <c r="P19" s="16" t="s">
        <v>683</v>
      </c>
      <c r="Q19" s="16" t="s">
        <v>701</v>
      </c>
      <c r="R19" s="16" t="s">
        <v>685</v>
      </c>
    </row>
    <row r="20" spans="3:18">
      <c r="C20" s="16" t="s">
        <v>723</v>
      </c>
      <c r="D20" s="16" t="s">
        <v>729</v>
      </c>
      <c r="E20" s="18" t="s">
        <v>734</v>
      </c>
      <c r="F20" s="16" t="s">
        <v>735</v>
      </c>
      <c r="G20" s="18" t="s">
        <v>736</v>
      </c>
      <c r="H20" s="18"/>
      <c r="I20" s="18" t="s">
        <v>737</v>
      </c>
      <c r="J20" s="18" t="s">
        <v>737</v>
      </c>
      <c r="M20" s="18"/>
      <c r="N20" s="18"/>
      <c r="O20" s="18"/>
      <c r="P20" s="16" t="s">
        <v>683</v>
      </c>
      <c r="Q20" s="16" t="s">
        <v>701</v>
      </c>
      <c r="R20" s="16" t="s">
        <v>685</v>
      </c>
    </row>
    <row r="21" spans="3:18">
      <c r="C21" s="16" t="s">
        <v>723</v>
      </c>
      <c r="D21" s="16" t="s">
        <v>738</v>
      </c>
      <c r="E21" s="18" t="s">
        <v>739</v>
      </c>
      <c r="F21" s="16" t="s">
        <v>740</v>
      </c>
      <c r="I21" s="16" t="s">
        <v>741</v>
      </c>
      <c r="J21" s="16" t="s">
        <v>742</v>
      </c>
      <c r="K21" s="16" t="s">
        <v>743</v>
      </c>
      <c r="M21" s="18" t="s">
        <v>71</v>
      </c>
      <c r="N21" s="18"/>
      <c r="O21" s="18"/>
      <c r="P21" s="16" t="s">
        <v>683</v>
      </c>
      <c r="Q21" s="16" t="s">
        <v>684</v>
      </c>
      <c r="R21" s="16" t="s">
        <v>688</v>
      </c>
    </row>
    <row r="22" spans="3:18">
      <c r="C22" s="16" t="s">
        <v>723</v>
      </c>
      <c r="D22" s="16" t="s">
        <v>738</v>
      </c>
      <c r="E22" s="18" t="s">
        <v>739</v>
      </c>
      <c r="F22" s="16" t="s">
        <v>740</v>
      </c>
      <c r="J22" s="16" t="s">
        <v>742</v>
      </c>
      <c r="K22" s="16" t="s">
        <v>744</v>
      </c>
      <c r="M22" s="18" t="s">
        <v>71</v>
      </c>
      <c r="N22" s="18"/>
      <c r="O22" s="18"/>
      <c r="P22" s="16" t="s">
        <v>683</v>
      </c>
    </row>
    <row r="23" spans="3:18">
      <c r="E23" s="18"/>
      <c r="J23" s="18" t="s">
        <v>745</v>
      </c>
      <c r="M23" s="18"/>
      <c r="N23" s="18"/>
      <c r="O23" s="18"/>
      <c r="P23" s="16" t="s">
        <v>683</v>
      </c>
      <c r="Q23" s="16" t="s">
        <v>690</v>
      </c>
      <c r="R23" s="16" t="s">
        <v>702</v>
      </c>
    </row>
    <row r="24" spans="3:18">
      <c r="C24" s="16" t="s">
        <v>723</v>
      </c>
      <c r="D24" s="16" t="s">
        <v>729</v>
      </c>
      <c r="E24" s="18" t="s">
        <v>746</v>
      </c>
      <c r="F24" s="16" t="s">
        <v>191</v>
      </c>
      <c r="J24" s="18" t="s">
        <v>747</v>
      </c>
      <c r="M24" s="18" t="s">
        <v>17</v>
      </c>
      <c r="N24" s="18"/>
      <c r="O24" s="18"/>
      <c r="P24" s="16" t="s">
        <v>683</v>
      </c>
      <c r="Q24" s="16" t="s">
        <v>701</v>
      </c>
      <c r="R24" s="16" t="s">
        <v>685</v>
      </c>
    </row>
    <row r="25" spans="3:18">
      <c r="C25" s="16" t="s">
        <v>723</v>
      </c>
      <c r="D25" s="16" t="s">
        <v>729</v>
      </c>
      <c r="E25" s="18" t="s">
        <v>746</v>
      </c>
      <c r="F25" s="16" t="s">
        <v>191</v>
      </c>
      <c r="J25" s="18" t="s">
        <v>748</v>
      </c>
      <c r="M25" s="18" t="s">
        <v>17</v>
      </c>
      <c r="N25" s="18"/>
      <c r="O25" s="18"/>
      <c r="P25" s="16" t="s">
        <v>683</v>
      </c>
      <c r="Q25" s="16" t="s">
        <v>701</v>
      </c>
      <c r="R25" s="16" t="s">
        <v>685</v>
      </c>
    </row>
    <row r="26" spans="3:18">
      <c r="C26" s="16" t="s">
        <v>723</v>
      </c>
      <c r="D26" s="16" t="s">
        <v>729</v>
      </c>
      <c r="E26" s="18" t="s">
        <v>746</v>
      </c>
      <c r="F26" s="18" t="s">
        <v>749</v>
      </c>
      <c r="G26" s="18"/>
      <c r="H26" s="18"/>
      <c r="I26" s="18" t="s">
        <v>243</v>
      </c>
      <c r="J26" s="18" t="s">
        <v>241</v>
      </c>
      <c r="M26" s="18" t="s">
        <v>17</v>
      </c>
      <c r="N26" s="18"/>
      <c r="O26" s="18"/>
      <c r="P26" s="16" t="s">
        <v>683</v>
      </c>
      <c r="Q26" s="16" t="s">
        <v>701</v>
      </c>
      <c r="R26" s="16" t="s">
        <v>705</v>
      </c>
    </row>
    <row r="27" spans="3:18">
      <c r="C27" s="16" t="s">
        <v>723</v>
      </c>
      <c r="D27" s="16" t="s">
        <v>729</v>
      </c>
      <c r="E27" s="18" t="s">
        <v>730</v>
      </c>
      <c r="F27" s="18" t="s">
        <v>750</v>
      </c>
      <c r="G27" s="18"/>
      <c r="H27" s="18"/>
      <c r="I27" s="18" t="s">
        <v>751</v>
      </c>
      <c r="J27" s="18" t="s">
        <v>751</v>
      </c>
      <c r="M27" s="18" t="s">
        <v>17</v>
      </c>
      <c r="N27" s="18"/>
      <c r="O27" s="18"/>
      <c r="P27" s="16" t="s">
        <v>683</v>
      </c>
      <c r="Q27" s="16" t="s">
        <v>701</v>
      </c>
      <c r="R27" s="16" t="s">
        <v>705</v>
      </c>
    </row>
    <row r="28" spans="3:18">
      <c r="C28" s="16" t="s">
        <v>723</v>
      </c>
      <c r="D28" s="16" t="s">
        <v>738</v>
      </c>
      <c r="E28" s="18" t="s">
        <v>752</v>
      </c>
      <c r="F28" s="16" t="s">
        <v>753</v>
      </c>
      <c r="J28" s="18" t="s">
        <v>182</v>
      </c>
      <c r="K28" s="18" t="s">
        <v>754</v>
      </c>
      <c r="L28" s="18"/>
      <c r="M28" s="18" t="s">
        <v>17</v>
      </c>
      <c r="N28" s="18"/>
      <c r="O28" s="18"/>
      <c r="P28" s="16" t="s">
        <v>683</v>
      </c>
      <c r="Q28" s="16" t="s">
        <v>690</v>
      </c>
      <c r="R28" s="16" t="s">
        <v>688</v>
      </c>
    </row>
    <row r="29" spans="3:18">
      <c r="C29" s="16" t="s">
        <v>723</v>
      </c>
      <c r="D29" s="16" t="s">
        <v>738</v>
      </c>
      <c r="E29" s="18" t="s">
        <v>752</v>
      </c>
      <c r="F29" s="16" t="s">
        <v>753</v>
      </c>
      <c r="I29" s="18" t="s">
        <v>182</v>
      </c>
      <c r="K29" s="18" t="s">
        <v>755</v>
      </c>
      <c r="L29" s="18"/>
      <c r="M29" s="18" t="s">
        <v>17</v>
      </c>
      <c r="N29" s="18"/>
      <c r="O29" s="18"/>
      <c r="P29" s="16" t="s">
        <v>683</v>
      </c>
    </row>
    <row r="30" spans="3:18">
      <c r="E30" s="18"/>
      <c r="I30" s="16" t="s">
        <v>238</v>
      </c>
      <c r="J30" s="16" t="s">
        <v>238</v>
      </c>
      <c r="K30" s="18"/>
      <c r="L30" s="18"/>
      <c r="M30" s="18"/>
      <c r="N30" s="18"/>
      <c r="O30" s="18"/>
      <c r="P30" s="16" t="s">
        <v>683</v>
      </c>
      <c r="Q30" s="16" t="s">
        <v>701</v>
      </c>
      <c r="R30" s="16" t="s">
        <v>688</v>
      </c>
    </row>
    <row r="31" spans="3:18">
      <c r="E31" s="18"/>
      <c r="I31" s="18" t="s">
        <v>756</v>
      </c>
      <c r="K31" s="18"/>
      <c r="L31" s="18"/>
      <c r="M31" s="18"/>
      <c r="N31" s="18"/>
      <c r="O31" s="18"/>
      <c r="P31" s="16" t="s">
        <v>683</v>
      </c>
    </row>
    <row r="32" spans="3:18">
      <c r="E32" s="18"/>
      <c r="I32" s="16" t="s">
        <v>757</v>
      </c>
      <c r="J32" s="16" t="s">
        <v>757</v>
      </c>
      <c r="K32" s="18"/>
      <c r="L32" s="18"/>
      <c r="M32" s="18"/>
      <c r="N32" s="18"/>
      <c r="O32" s="18"/>
      <c r="P32" s="16" t="s">
        <v>683</v>
      </c>
      <c r="Q32" s="16" t="s">
        <v>701</v>
      </c>
      <c r="R32" s="16" t="s">
        <v>688</v>
      </c>
    </row>
    <row r="33" spans="3:18">
      <c r="E33" s="18"/>
      <c r="K33" s="18" t="s">
        <v>758</v>
      </c>
      <c r="L33" s="18"/>
      <c r="M33" s="18"/>
      <c r="N33" s="18"/>
      <c r="O33" s="18"/>
      <c r="P33" s="16" t="s">
        <v>683</v>
      </c>
      <c r="Q33" s="16" t="s">
        <v>690</v>
      </c>
      <c r="R33" s="16" t="s">
        <v>688</v>
      </c>
    </row>
    <row r="34" spans="3:18">
      <c r="E34" s="18"/>
      <c r="J34" s="18" t="s">
        <v>759</v>
      </c>
      <c r="K34" s="18"/>
      <c r="L34" s="18"/>
      <c r="M34" s="18"/>
      <c r="N34" s="18"/>
      <c r="O34" s="18"/>
      <c r="P34" s="16" t="s">
        <v>683</v>
      </c>
      <c r="Q34" s="16" t="s">
        <v>690</v>
      </c>
      <c r="R34" s="16" t="s">
        <v>688</v>
      </c>
    </row>
    <row r="35" spans="3:18">
      <c r="C35" s="16" t="s">
        <v>695</v>
      </c>
      <c r="D35" s="16" t="s">
        <v>696</v>
      </c>
      <c r="E35" s="16" t="s">
        <v>697</v>
      </c>
      <c r="F35" s="16" t="s">
        <v>760</v>
      </c>
      <c r="J35" s="16" t="s">
        <v>279</v>
      </c>
      <c r="K35" s="16" t="s">
        <v>279</v>
      </c>
      <c r="M35" s="16" t="s">
        <v>279</v>
      </c>
      <c r="N35" s="16" t="s">
        <v>279</v>
      </c>
      <c r="O35" s="16" t="s">
        <v>279</v>
      </c>
      <c r="P35" s="16" t="s">
        <v>683</v>
      </c>
    </row>
    <row r="36" spans="3:18">
      <c r="C36" s="16" t="s">
        <v>695</v>
      </c>
      <c r="D36" s="16" t="s">
        <v>696</v>
      </c>
      <c r="E36" s="16" t="s">
        <v>697</v>
      </c>
      <c r="F36" s="16" t="s">
        <v>761</v>
      </c>
      <c r="J36" s="16" t="s">
        <v>279</v>
      </c>
      <c r="K36" s="16" t="s">
        <v>279</v>
      </c>
      <c r="M36" s="16" t="s">
        <v>279</v>
      </c>
      <c r="N36" s="16" t="s">
        <v>279</v>
      </c>
      <c r="O36" s="16" t="s">
        <v>279</v>
      </c>
      <c r="P36" s="16" t="s">
        <v>683</v>
      </c>
    </row>
    <row r="37" spans="3:18">
      <c r="C37" s="16" t="s">
        <v>695</v>
      </c>
      <c r="D37" s="16" t="s">
        <v>696</v>
      </c>
      <c r="E37" s="16" t="s">
        <v>697</v>
      </c>
      <c r="F37" s="16" t="s">
        <v>762</v>
      </c>
      <c r="J37" s="16" t="s">
        <v>279</v>
      </c>
      <c r="K37" s="16" t="s">
        <v>279</v>
      </c>
      <c r="M37" s="16" t="s">
        <v>279</v>
      </c>
      <c r="N37" s="16" t="s">
        <v>279</v>
      </c>
      <c r="O37" s="16" t="s">
        <v>279</v>
      </c>
      <c r="P37" s="16" t="s">
        <v>683</v>
      </c>
    </row>
    <row r="38" spans="3:18">
      <c r="C38" s="16" t="s">
        <v>695</v>
      </c>
      <c r="D38" s="16" t="s">
        <v>696</v>
      </c>
      <c r="E38" s="16" t="s">
        <v>697</v>
      </c>
      <c r="F38" s="16" t="s">
        <v>763</v>
      </c>
      <c r="J38" s="16" t="s">
        <v>764</v>
      </c>
      <c r="P38" s="16" t="s">
        <v>683</v>
      </c>
      <c r="Q38" s="16" t="s">
        <v>701</v>
      </c>
      <c r="R38" s="16" t="s">
        <v>712</v>
      </c>
    </row>
    <row r="39" spans="3:18">
      <c r="C39" s="16" t="s">
        <v>695</v>
      </c>
      <c r="D39" s="16" t="s">
        <v>696</v>
      </c>
      <c r="E39" s="16" t="s">
        <v>697</v>
      </c>
      <c r="F39" s="16" t="s">
        <v>763</v>
      </c>
      <c r="J39" s="16" t="s">
        <v>765</v>
      </c>
      <c r="P39" s="16" t="s">
        <v>683</v>
      </c>
      <c r="Q39" s="16" t="s">
        <v>701</v>
      </c>
      <c r="R39" s="16" t="s">
        <v>712</v>
      </c>
    </row>
    <row r="40" spans="3:18">
      <c r="C40" s="16" t="s">
        <v>695</v>
      </c>
      <c r="D40" s="16" t="s">
        <v>696</v>
      </c>
      <c r="E40" s="16" t="s">
        <v>697</v>
      </c>
      <c r="F40" s="16" t="s">
        <v>763</v>
      </c>
      <c r="J40" s="16" t="s">
        <v>766</v>
      </c>
      <c r="P40" s="16" t="s">
        <v>683</v>
      </c>
      <c r="Q40" s="16" t="s">
        <v>701</v>
      </c>
      <c r="R40" s="16" t="s">
        <v>712</v>
      </c>
    </row>
    <row r="41" spans="3:18">
      <c r="J41" s="16" t="s">
        <v>767</v>
      </c>
      <c r="P41" s="16" t="s">
        <v>683</v>
      </c>
      <c r="Q41" s="16" t="s">
        <v>690</v>
      </c>
      <c r="R41" s="16" t="s">
        <v>712</v>
      </c>
    </row>
    <row r="42" spans="3:18">
      <c r="J42" s="16" t="s">
        <v>768</v>
      </c>
      <c r="P42" s="16" t="s">
        <v>683</v>
      </c>
      <c r="Q42" s="16" t="s">
        <v>701</v>
      </c>
      <c r="R42" s="16" t="s">
        <v>712</v>
      </c>
    </row>
    <row r="43" spans="3:18">
      <c r="C43" s="16" t="s">
        <v>695</v>
      </c>
      <c r="D43" s="16" t="s">
        <v>696</v>
      </c>
      <c r="E43" s="16" t="s">
        <v>697</v>
      </c>
      <c r="F43" s="16" t="s">
        <v>698</v>
      </c>
      <c r="J43" s="16" t="s">
        <v>769</v>
      </c>
      <c r="P43" s="16" t="s">
        <v>683</v>
      </c>
      <c r="Q43" s="16" t="s">
        <v>701</v>
      </c>
      <c r="R43" s="16" t="s">
        <v>688</v>
      </c>
    </row>
    <row r="44" spans="3:18">
      <c r="J44" s="16" t="s">
        <v>770</v>
      </c>
      <c r="P44" s="16" t="s">
        <v>683</v>
      </c>
      <c r="Q44" s="16" t="s">
        <v>701</v>
      </c>
      <c r="R44" s="16" t="s">
        <v>694</v>
      </c>
    </row>
    <row r="45" spans="3:18">
      <c r="J45" s="16" t="s">
        <v>771</v>
      </c>
      <c r="P45" s="16" t="s">
        <v>683</v>
      </c>
      <c r="Q45" s="16" t="s">
        <v>701</v>
      </c>
      <c r="R45" s="16" t="s">
        <v>694</v>
      </c>
    </row>
    <row r="46" spans="3:18">
      <c r="J46" s="16" t="s">
        <v>772</v>
      </c>
      <c r="P46" s="16" t="s">
        <v>683</v>
      </c>
      <c r="Q46" s="16" t="s">
        <v>690</v>
      </c>
      <c r="R46" s="16" t="s">
        <v>694</v>
      </c>
    </row>
    <row r="47" spans="3:18">
      <c r="I47" s="16" t="s">
        <v>773</v>
      </c>
      <c r="P47" s="16" t="s">
        <v>683</v>
      </c>
      <c r="Q47" s="16" t="s">
        <v>684</v>
      </c>
      <c r="R47" s="16" t="s">
        <v>685</v>
      </c>
    </row>
    <row r="48" spans="3:18">
      <c r="I48" s="16" t="s">
        <v>774</v>
      </c>
      <c r="J48" s="16" t="s">
        <v>775</v>
      </c>
      <c r="P48" s="16" t="s">
        <v>683</v>
      </c>
      <c r="Q48" s="16" t="s">
        <v>690</v>
      </c>
      <c r="R48" s="16" t="s">
        <v>688</v>
      </c>
    </row>
    <row r="49" spans="3:18">
      <c r="P49" s="16" t="s">
        <v>683</v>
      </c>
      <c r="Q49" s="16" t="s">
        <v>690</v>
      </c>
      <c r="R49" s="16" t="s">
        <v>685</v>
      </c>
    </row>
    <row r="50" spans="3:18">
      <c r="C50" s="16" t="s">
        <v>723</v>
      </c>
      <c r="D50" s="16" t="s">
        <v>724</v>
      </c>
      <c r="E50" s="18" t="s">
        <v>776</v>
      </c>
      <c r="J50" s="18"/>
      <c r="M50" s="18"/>
      <c r="N50" s="18"/>
      <c r="O50" s="18"/>
      <c r="P50" s="16" t="s">
        <v>683</v>
      </c>
    </row>
    <row r="51" spans="3:18">
      <c r="C51" s="16" t="s">
        <v>723</v>
      </c>
      <c r="D51" s="16" t="s">
        <v>724</v>
      </c>
      <c r="E51" s="18" t="s">
        <v>725</v>
      </c>
      <c r="F51" s="18" t="s">
        <v>777</v>
      </c>
      <c r="G51" s="18"/>
      <c r="H51" s="18"/>
      <c r="I51" s="18"/>
      <c r="J51" s="18" t="s">
        <v>199</v>
      </c>
      <c r="M51" s="18"/>
      <c r="N51" s="18"/>
      <c r="O51" s="18"/>
      <c r="P51" s="16" t="s">
        <v>778</v>
      </c>
    </row>
    <row r="52" spans="3:18">
      <c r="C52" s="16" t="s">
        <v>723</v>
      </c>
      <c r="D52" s="16" t="s">
        <v>724</v>
      </c>
      <c r="E52" s="18" t="s">
        <v>725</v>
      </c>
      <c r="F52" s="18" t="s">
        <v>777</v>
      </c>
      <c r="G52" s="18"/>
      <c r="H52" s="18"/>
      <c r="I52" s="18"/>
      <c r="J52" s="18"/>
      <c r="M52" s="18"/>
      <c r="N52" s="18"/>
      <c r="O52" s="18"/>
      <c r="P52" s="16" t="s">
        <v>683</v>
      </c>
    </row>
    <row r="53" spans="3:18">
      <c r="C53" s="16" t="s">
        <v>723</v>
      </c>
      <c r="D53" s="16" t="s">
        <v>724</v>
      </c>
      <c r="E53" s="18" t="s">
        <v>725</v>
      </c>
      <c r="F53" s="18" t="s">
        <v>298</v>
      </c>
      <c r="G53" s="18"/>
      <c r="H53" s="18"/>
      <c r="I53" s="18"/>
      <c r="M53" s="18"/>
      <c r="N53" s="18"/>
      <c r="O53" s="18"/>
      <c r="P53" s="16" t="s">
        <v>683</v>
      </c>
    </row>
    <row r="54" spans="3:18">
      <c r="C54" s="16" t="s">
        <v>723</v>
      </c>
      <c r="D54" s="16" t="s">
        <v>724</v>
      </c>
      <c r="E54" s="18" t="s">
        <v>725</v>
      </c>
      <c r="F54" s="18" t="s">
        <v>779</v>
      </c>
      <c r="G54" s="18"/>
      <c r="H54" s="18"/>
      <c r="I54" s="18"/>
      <c r="M54" s="18"/>
      <c r="N54" s="18"/>
      <c r="O54" s="18"/>
      <c r="P54" s="16" t="s">
        <v>683</v>
      </c>
    </row>
    <row r="55" spans="3:18">
      <c r="C55" s="16" t="s">
        <v>723</v>
      </c>
      <c r="D55" s="16" t="s">
        <v>724</v>
      </c>
      <c r="E55" s="18" t="s">
        <v>725</v>
      </c>
      <c r="F55" s="18" t="s">
        <v>780</v>
      </c>
      <c r="G55" s="18"/>
      <c r="H55" s="18"/>
      <c r="I55" s="18"/>
      <c r="M55" s="18"/>
      <c r="N55" s="18"/>
      <c r="O55" s="18"/>
      <c r="P55" s="16" t="s">
        <v>683</v>
      </c>
    </row>
    <row r="56" spans="3:18">
      <c r="C56" s="16" t="s">
        <v>723</v>
      </c>
      <c r="D56" s="16" t="s">
        <v>738</v>
      </c>
      <c r="E56" s="18" t="s">
        <v>781</v>
      </c>
      <c r="F56" s="16" t="s">
        <v>782</v>
      </c>
      <c r="I56" s="18" t="s">
        <v>192</v>
      </c>
      <c r="M56" s="18"/>
      <c r="N56" s="18"/>
      <c r="O56" s="18"/>
      <c r="P56" s="16" t="s">
        <v>778</v>
      </c>
      <c r="Q56" s="16" t="s">
        <v>690</v>
      </c>
    </row>
    <row r="57" spans="3:18">
      <c r="J57" s="16" t="s">
        <v>264</v>
      </c>
      <c r="P57" s="16" t="s">
        <v>683</v>
      </c>
      <c r="Q57" s="16" t="s">
        <v>690</v>
      </c>
    </row>
    <row r="58" spans="3:18">
      <c r="J58" s="16" t="s">
        <v>783</v>
      </c>
      <c r="P58" s="16" t="s">
        <v>683</v>
      </c>
      <c r="Q58" s="16" t="s">
        <v>687</v>
      </c>
      <c r="R58" s="16" t="s">
        <v>688</v>
      </c>
    </row>
    <row r="59" spans="3:18">
      <c r="C59" s="16" t="s">
        <v>723</v>
      </c>
      <c r="D59" s="16" t="s">
        <v>738</v>
      </c>
      <c r="E59" s="18" t="s">
        <v>702</v>
      </c>
      <c r="F59" s="16" t="s">
        <v>784</v>
      </c>
      <c r="J59" s="16" t="s">
        <v>785</v>
      </c>
      <c r="M59" s="18"/>
      <c r="N59" s="18"/>
      <c r="O59" s="18"/>
      <c r="P59" s="16" t="s">
        <v>683</v>
      </c>
      <c r="Q59" s="16" t="s">
        <v>687</v>
      </c>
    </row>
    <row r="60" spans="3:18">
      <c r="C60" s="16" t="s">
        <v>723</v>
      </c>
      <c r="D60" s="16" t="s">
        <v>738</v>
      </c>
      <c r="E60" s="18" t="s">
        <v>702</v>
      </c>
      <c r="F60" s="16" t="s">
        <v>784</v>
      </c>
      <c r="J60" s="16" t="s">
        <v>786</v>
      </c>
      <c r="P60" s="16" t="s">
        <v>683</v>
      </c>
      <c r="Q60" s="16" t="s">
        <v>687</v>
      </c>
    </row>
    <row r="61" spans="3:18">
      <c r="C61" s="16" t="s">
        <v>723</v>
      </c>
      <c r="D61" s="16" t="s">
        <v>738</v>
      </c>
      <c r="E61" s="18" t="s">
        <v>739</v>
      </c>
      <c r="K61" s="16" t="s">
        <v>787</v>
      </c>
      <c r="P61" s="16" t="s">
        <v>683</v>
      </c>
      <c r="Q61" s="16" t="s">
        <v>684</v>
      </c>
    </row>
    <row r="62" spans="3:18">
      <c r="C62" s="16" t="s">
        <v>723</v>
      </c>
      <c r="D62" s="16" t="s">
        <v>738</v>
      </c>
      <c r="E62" s="18" t="s">
        <v>739</v>
      </c>
      <c r="F62" s="16" t="s">
        <v>788</v>
      </c>
      <c r="J62" s="16" t="s">
        <v>789</v>
      </c>
      <c r="K62" s="16" t="s">
        <v>743</v>
      </c>
      <c r="M62" s="18"/>
      <c r="N62" s="18"/>
      <c r="O62" s="18"/>
      <c r="P62" s="16" t="s">
        <v>683</v>
      </c>
      <c r="Q62" s="16" t="s">
        <v>684</v>
      </c>
      <c r="R62" s="16" t="s">
        <v>688</v>
      </c>
    </row>
    <row r="63" spans="3:18">
      <c r="C63" s="16" t="s">
        <v>723</v>
      </c>
      <c r="D63" s="16" t="s">
        <v>738</v>
      </c>
      <c r="E63" s="18" t="s">
        <v>739</v>
      </c>
      <c r="F63" s="16" t="s">
        <v>788</v>
      </c>
      <c r="K63" s="16" t="s">
        <v>790</v>
      </c>
      <c r="M63" s="18"/>
      <c r="N63" s="18"/>
      <c r="O63" s="18"/>
      <c r="P63" s="16" t="s">
        <v>683</v>
      </c>
      <c r="Q63" s="16" t="s">
        <v>684</v>
      </c>
      <c r="R63" s="16" t="s">
        <v>688</v>
      </c>
    </row>
    <row r="64" spans="3:18">
      <c r="C64" s="16" t="s">
        <v>723</v>
      </c>
      <c r="D64" s="16" t="s">
        <v>738</v>
      </c>
      <c r="E64" s="18" t="s">
        <v>739</v>
      </c>
      <c r="F64" s="16" t="s">
        <v>788</v>
      </c>
      <c r="I64" s="16" t="s">
        <v>791</v>
      </c>
      <c r="M64" s="18"/>
      <c r="N64" s="18"/>
      <c r="O64" s="18"/>
      <c r="P64" s="16" t="s">
        <v>683</v>
      </c>
      <c r="Q64" s="16" t="s">
        <v>684</v>
      </c>
    </row>
    <row r="65" spans="1:17">
      <c r="C65" s="16" t="s">
        <v>723</v>
      </c>
      <c r="D65" s="16" t="s">
        <v>738</v>
      </c>
      <c r="E65" s="18" t="s">
        <v>739</v>
      </c>
      <c r="F65" s="16" t="s">
        <v>788</v>
      </c>
      <c r="J65" s="16" t="s">
        <v>792</v>
      </c>
      <c r="M65" s="18"/>
      <c r="N65" s="18"/>
      <c r="O65" s="18"/>
      <c r="P65" s="16" t="s">
        <v>683</v>
      </c>
      <c r="Q65" s="16" t="s">
        <v>684</v>
      </c>
    </row>
    <row r="66" spans="1:17">
      <c r="C66" s="16" t="s">
        <v>723</v>
      </c>
      <c r="D66" s="16" t="s">
        <v>738</v>
      </c>
      <c r="E66" s="18" t="s">
        <v>739</v>
      </c>
      <c r="F66" s="16" t="s">
        <v>788</v>
      </c>
      <c r="M66" s="18"/>
      <c r="N66" s="18"/>
      <c r="O66" s="18"/>
      <c r="P66" s="16" t="s">
        <v>683</v>
      </c>
      <c r="Q66" s="16" t="s">
        <v>684</v>
      </c>
    </row>
    <row r="67" spans="1:17">
      <c r="C67" s="16" t="s">
        <v>695</v>
      </c>
      <c r="D67" s="16" t="s">
        <v>714</v>
      </c>
      <c r="E67" s="18" t="s">
        <v>793</v>
      </c>
      <c r="I67" s="16" t="s">
        <v>228</v>
      </c>
      <c r="J67" s="16" t="s">
        <v>233</v>
      </c>
      <c r="M67" s="16" t="s">
        <v>77</v>
      </c>
      <c r="P67" s="16" t="s">
        <v>778</v>
      </c>
    </row>
    <row r="68" spans="1:17">
      <c r="A68" s="16">
        <v>1</v>
      </c>
      <c r="C68" s="16" t="s">
        <v>723</v>
      </c>
      <c r="D68" s="16" t="s">
        <v>794</v>
      </c>
      <c r="F68" s="16" t="s">
        <v>795</v>
      </c>
      <c r="I68" s="16" t="s">
        <v>228</v>
      </c>
      <c r="J68" s="16" t="s">
        <v>234</v>
      </c>
      <c r="M68" s="16" t="s">
        <v>77</v>
      </c>
      <c r="N68" s="18"/>
      <c r="O68" s="18"/>
      <c r="P68" s="16" t="s">
        <v>778</v>
      </c>
    </row>
    <row r="69" spans="1:17">
      <c r="I69" s="16" t="s">
        <v>228</v>
      </c>
      <c r="J69" s="16" t="s">
        <v>227</v>
      </c>
      <c r="M69" s="16" t="s">
        <v>77</v>
      </c>
      <c r="N69" s="18"/>
      <c r="O69" s="18"/>
      <c r="P69" s="16" t="s">
        <v>778</v>
      </c>
    </row>
    <row r="70" spans="1:17">
      <c r="I70" s="16" t="s">
        <v>228</v>
      </c>
      <c r="J70" s="16" t="s">
        <v>229</v>
      </c>
      <c r="M70" s="16" t="s">
        <v>77</v>
      </c>
      <c r="N70" s="18"/>
      <c r="O70" s="18"/>
      <c r="P70" s="16" t="s">
        <v>778</v>
      </c>
    </row>
    <row r="71" spans="1:17">
      <c r="A71" s="16">
        <v>1</v>
      </c>
      <c r="C71" s="16" t="s">
        <v>723</v>
      </c>
      <c r="F71" s="16" t="s">
        <v>796</v>
      </c>
      <c r="I71" s="16" t="s">
        <v>228</v>
      </c>
      <c r="J71" s="16" t="s">
        <v>232</v>
      </c>
      <c r="M71" s="16" t="s">
        <v>77</v>
      </c>
      <c r="N71" s="18"/>
      <c r="O71" s="18"/>
      <c r="P71" s="16" t="s">
        <v>778</v>
      </c>
    </row>
    <row r="72" spans="1:17">
      <c r="A72" s="16">
        <v>1</v>
      </c>
      <c r="C72" s="16" t="s">
        <v>723</v>
      </c>
      <c r="F72" s="16" t="s">
        <v>797</v>
      </c>
      <c r="I72" s="16" t="s">
        <v>191</v>
      </c>
      <c r="J72" s="16" t="s">
        <v>190</v>
      </c>
      <c r="M72" s="18" t="s">
        <v>17</v>
      </c>
      <c r="N72" s="18"/>
      <c r="O72" s="18"/>
      <c r="P72" s="16" t="s">
        <v>778</v>
      </c>
    </row>
    <row r="73" spans="1:17">
      <c r="A73" s="16">
        <v>1</v>
      </c>
      <c r="C73" s="16" t="s">
        <v>723</v>
      </c>
      <c r="D73" s="16" t="s">
        <v>798</v>
      </c>
      <c r="I73" s="16" t="s">
        <v>171</v>
      </c>
      <c r="J73" s="16" t="s">
        <v>189</v>
      </c>
      <c r="M73" s="18" t="s">
        <v>17</v>
      </c>
      <c r="P73" s="16" t="s">
        <v>778</v>
      </c>
    </row>
    <row r="74" spans="1:17">
      <c r="A74" s="16">
        <v>1</v>
      </c>
      <c r="C74" s="16" t="s">
        <v>723</v>
      </c>
      <c r="D74" s="16" t="s">
        <v>729</v>
      </c>
      <c r="I74" s="16" t="s">
        <v>171</v>
      </c>
      <c r="J74" s="16" t="s">
        <v>188</v>
      </c>
      <c r="M74" s="18" t="s">
        <v>17</v>
      </c>
      <c r="P74" s="16" t="s">
        <v>778</v>
      </c>
    </row>
    <row r="75" spans="1:17">
      <c r="A75" s="16">
        <v>1</v>
      </c>
      <c r="C75" s="16" t="s">
        <v>799</v>
      </c>
      <c r="E75" s="18" t="s">
        <v>223</v>
      </c>
      <c r="I75" s="16" t="s">
        <v>94</v>
      </c>
      <c r="J75" s="16" t="s">
        <v>186</v>
      </c>
      <c r="M75" s="18" t="s">
        <v>17</v>
      </c>
      <c r="N75" s="18"/>
      <c r="O75" s="18"/>
      <c r="P75" s="16" t="s">
        <v>778</v>
      </c>
    </row>
    <row r="76" spans="1:17">
      <c r="A76" s="16">
        <v>1</v>
      </c>
      <c r="I76" s="16" t="s">
        <v>94</v>
      </c>
      <c r="J76" s="16" t="s">
        <v>185</v>
      </c>
      <c r="M76" s="18" t="s">
        <v>17</v>
      </c>
      <c r="N76" s="18"/>
      <c r="O76" s="18"/>
      <c r="P76" s="16" t="s">
        <v>778</v>
      </c>
    </row>
    <row r="77" spans="1:17">
      <c r="A77" s="16">
        <v>1</v>
      </c>
      <c r="I77" s="18" t="s">
        <v>132</v>
      </c>
      <c r="J77" s="18" t="s">
        <v>194</v>
      </c>
      <c r="M77" s="18" t="s">
        <v>38</v>
      </c>
      <c r="N77" s="18"/>
      <c r="O77" s="18"/>
      <c r="P77" s="16" t="s">
        <v>778</v>
      </c>
    </row>
    <row r="78" spans="1:17">
      <c r="A78" s="16">
        <v>1</v>
      </c>
      <c r="M78" s="18"/>
      <c r="N78" s="18"/>
      <c r="O78" s="18"/>
      <c r="P78" s="16" t="s">
        <v>778</v>
      </c>
    </row>
    <row r="79" spans="1:17">
      <c r="A79" s="16">
        <v>1</v>
      </c>
      <c r="I79" s="18" t="s">
        <v>120</v>
      </c>
      <c r="J79" s="18" t="s">
        <v>192</v>
      </c>
      <c r="M79" s="18" t="s">
        <v>38</v>
      </c>
      <c r="N79" s="18"/>
      <c r="O79" s="18"/>
      <c r="P79" s="16" t="s">
        <v>778</v>
      </c>
    </row>
    <row r="80" spans="1:17">
      <c r="A80" s="16">
        <v>1</v>
      </c>
      <c r="I80" s="18" t="s">
        <v>120</v>
      </c>
      <c r="J80" s="16" t="s">
        <v>800</v>
      </c>
      <c r="M80" s="18" t="s">
        <v>38</v>
      </c>
      <c r="N80" s="18"/>
      <c r="O80" s="18"/>
      <c r="P80" s="16" t="s">
        <v>778</v>
      </c>
    </row>
    <row r="81" spans="1:16">
      <c r="A81" s="16">
        <v>1</v>
      </c>
      <c r="M81" s="18"/>
      <c r="N81" s="18"/>
      <c r="O81" s="18"/>
      <c r="P81" s="16" t="s">
        <v>778</v>
      </c>
    </row>
    <row r="82" spans="1:16">
      <c r="A82" s="16">
        <v>1</v>
      </c>
      <c r="I82" s="18" t="s">
        <v>222</v>
      </c>
      <c r="J82" s="18" t="s">
        <v>801</v>
      </c>
      <c r="M82" s="18" t="s">
        <v>149</v>
      </c>
      <c r="N82" s="18"/>
      <c r="O82" s="18"/>
      <c r="P82" s="16" t="s">
        <v>778</v>
      </c>
    </row>
    <row r="83" spans="1:16">
      <c r="A83" s="16">
        <v>1</v>
      </c>
      <c r="M83" s="18"/>
      <c r="N83" s="18"/>
      <c r="O83" s="18"/>
      <c r="P83" s="16" t="s">
        <v>778</v>
      </c>
    </row>
    <row r="84" spans="1:16">
      <c r="A84" s="16">
        <v>1</v>
      </c>
      <c r="I84" s="18" t="s">
        <v>218</v>
      </c>
      <c r="J84" s="18" t="s">
        <v>217</v>
      </c>
      <c r="M84" s="18" t="s">
        <v>149</v>
      </c>
      <c r="N84" s="18"/>
      <c r="O84" s="18"/>
      <c r="P84" s="16" t="s">
        <v>778</v>
      </c>
    </row>
    <row r="85" spans="1:16">
      <c r="A85" s="16">
        <v>1</v>
      </c>
      <c r="I85" s="16" t="s">
        <v>802</v>
      </c>
      <c r="J85" s="18" t="s">
        <v>215</v>
      </c>
      <c r="M85" s="18" t="s">
        <v>149</v>
      </c>
      <c r="N85" s="18"/>
      <c r="O85" s="18"/>
      <c r="P85" s="16" t="s">
        <v>778</v>
      </c>
    </row>
    <row r="86" spans="1:16">
      <c r="A86" s="16">
        <v>1</v>
      </c>
      <c r="I86" s="16" t="s">
        <v>802</v>
      </c>
      <c r="J86" s="18" t="s">
        <v>220</v>
      </c>
      <c r="M86" s="18" t="s">
        <v>149</v>
      </c>
      <c r="N86" s="18"/>
      <c r="O86" s="18"/>
      <c r="P86" s="16" t="s">
        <v>778</v>
      </c>
    </row>
    <row r="87" spans="1:16">
      <c r="A87" s="16">
        <v>1</v>
      </c>
      <c r="I87" s="16" t="s">
        <v>802</v>
      </c>
      <c r="J87" s="18" t="s">
        <v>219</v>
      </c>
      <c r="M87" s="18" t="s">
        <v>149</v>
      </c>
      <c r="N87" s="18"/>
      <c r="O87" s="18"/>
      <c r="P87" s="16" t="s">
        <v>778</v>
      </c>
    </row>
    <row r="88" spans="1:16">
      <c r="I88" s="18" t="s">
        <v>207</v>
      </c>
      <c r="J88" s="16" t="s">
        <v>206</v>
      </c>
      <c r="M88" s="16" t="s">
        <v>50</v>
      </c>
      <c r="P88" s="16" t="s">
        <v>778</v>
      </c>
    </row>
    <row r="89" spans="1:16">
      <c r="I89" s="16" t="s">
        <v>197</v>
      </c>
      <c r="J89" s="16" t="s">
        <v>198</v>
      </c>
      <c r="M89" s="16" t="s">
        <v>50</v>
      </c>
      <c r="P89" s="16" t="s">
        <v>778</v>
      </c>
    </row>
    <row r="90" spans="1:16">
      <c r="A90" s="16">
        <v>1</v>
      </c>
      <c r="I90" s="16" t="s">
        <v>197</v>
      </c>
      <c r="J90" s="16" t="s">
        <v>196</v>
      </c>
      <c r="M90" s="16" t="s">
        <v>50</v>
      </c>
      <c r="N90" s="18"/>
      <c r="O90" s="18"/>
      <c r="P90" s="16" t="s">
        <v>778</v>
      </c>
    </row>
    <row r="91" spans="1:16">
      <c r="A91" s="16">
        <v>1</v>
      </c>
      <c r="I91" s="18" t="s">
        <v>202</v>
      </c>
      <c r="J91" s="18" t="s">
        <v>210</v>
      </c>
      <c r="M91" s="16" t="s">
        <v>50</v>
      </c>
      <c r="N91" s="18"/>
      <c r="O91" s="18"/>
      <c r="P91" s="16" t="s">
        <v>778</v>
      </c>
    </row>
    <row r="92" spans="1:16">
      <c r="I92" s="18" t="s">
        <v>202</v>
      </c>
      <c r="J92" s="18" t="s">
        <v>201</v>
      </c>
      <c r="M92" s="16" t="s">
        <v>50</v>
      </c>
      <c r="N92" s="18"/>
      <c r="O92" s="18"/>
      <c r="P92" s="16" t="s">
        <v>778</v>
      </c>
    </row>
    <row r="93" spans="1:16">
      <c r="I93" s="16" t="s">
        <v>803</v>
      </c>
      <c r="J93" s="16" t="s">
        <v>223</v>
      </c>
      <c r="M93" s="16" t="s">
        <v>71</v>
      </c>
      <c r="P93" s="16" t="s">
        <v>778</v>
      </c>
    </row>
    <row r="94" spans="1:16">
      <c r="I94" s="16" t="s">
        <v>200</v>
      </c>
      <c r="J94" s="16" t="s">
        <v>199</v>
      </c>
      <c r="M94" s="16" t="s">
        <v>50</v>
      </c>
      <c r="P94" s="16" t="s">
        <v>778</v>
      </c>
    </row>
    <row r="164" spans="5:5">
      <c r="E164" s="16" t="s">
        <v>804</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91346153846154" defaultRowHeight="16.8"/>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91346153846154" defaultRowHeight="16.8"/>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47"/>
  <sheetViews>
    <sheetView topLeftCell="D44" workbookViewId="0">
      <selection activeCell="D44" sqref="D44"/>
    </sheetView>
  </sheetViews>
  <sheetFormatPr defaultColWidth="9.91346153846154" defaultRowHeight="16.8" outlineLevelCol="4"/>
  <cols>
    <col min="2" max="2" width="37" customWidth="1"/>
    <col min="3" max="3" width="32.1538461538462" customWidth="1"/>
    <col min="4" max="4" width="24.8557692307692" customWidth="1"/>
    <col min="5" max="5" width="29.2307692307692" customWidth="1"/>
  </cols>
  <sheetData>
    <row r="1" spans="2:5">
      <c r="B1" t="s">
        <v>675</v>
      </c>
      <c r="C1" t="s">
        <v>676</v>
      </c>
    </row>
    <row r="2" spans="2:5">
      <c r="B2" s="15" t="s">
        <v>84</v>
      </c>
      <c r="C2" s="15" t="s">
        <v>805</v>
      </c>
      <c r="D2" t="s">
        <v>806</v>
      </c>
      <c r="E2" s="15" t="s">
        <v>807</v>
      </c>
    </row>
    <row r="3" spans="2:5">
      <c r="B3" s="15"/>
      <c r="C3" s="15"/>
      <c r="D3" t="s">
        <v>808</v>
      </c>
      <c r="E3" s="15" t="s">
        <v>809</v>
      </c>
    </row>
    <row r="4" spans="2:5">
      <c r="B4" s="15"/>
      <c r="C4" s="15"/>
      <c r="D4" t="s">
        <v>810</v>
      </c>
      <c r="E4" s="15" t="s">
        <v>811</v>
      </c>
    </row>
    <row r="5" spans="2:5">
      <c r="B5" s="15" t="s">
        <v>84</v>
      </c>
      <c r="C5" s="15" t="s">
        <v>812</v>
      </c>
      <c r="D5" t="s">
        <v>813</v>
      </c>
    </row>
    <row r="6" spans="2:5">
      <c r="B6" s="15"/>
      <c r="C6" s="15"/>
      <c r="D6" t="s">
        <v>814</v>
      </c>
    </row>
    <row r="7" spans="2:5">
      <c r="B7" s="15"/>
      <c r="C7" s="15"/>
      <c r="D7" t="s">
        <v>815</v>
      </c>
    </row>
    <row r="8" spans="2:5">
      <c r="B8" s="15" t="s">
        <v>84</v>
      </c>
      <c r="C8" s="15" t="s">
        <v>816</v>
      </c>
      <c r="D8" t="s">
        <v>817</v>
      </c>
    </row>
    <row r="9" spans="2:5">
      <c r="B9" s="15"/>
      <c r="C9" s="15"/>
      <c r="D9" t="s">
        <v>818</v>
      </c>
    </row>
    <row r="10" spans="2:5">
      <c r="B10" s="15"/>
      <c r="C10" s="15"/>
      <c r="D10" t="s">
        <v>819</v>
      </c>
    </row>
    <row r="11" spans="2:5">
      <c r="B11" s="15"/>
      <c r="C11" s="15"/>
    </row>
    <row r="12" spans="2:5">
      <c r="B12" s="15" t="s">
        <v>52</v>
      </c>
      <c r="C12" s="15" t="s">
        <v>820</v>
      </c>
      <c r="D12" t="s">
        <v>821</v>
      </c>
    </row>
    <row r="13" spans="2:5">
      <c r="B13" s="15"/>
      <c r="C13" s="15"/>
      <c r="D13" t="s">
        <v>822</v>
      </c>
    </row>
    <row r="14" spans="2:5">
      <c r="B14" s="15"/>
      <c r="C14" s="15"/>
      <c r="D14" t="s">
        <v>823</v>
      </c>
    </row>
    <row r="15" spans="2:5">
      <c r="B15" s="15" t="s">
        <v>52</v>
      </c>
      <c r="C15" s="15" t="s">
        <v>824</v>
      </c>
      <c r="D15" t="s">
        <v>825</v>
      </c>
    </row>
    <row r="16" spans="2:5">
      <c r="B16" s="15"/>
      <c r="C16" s="15"/>
      <c r="D16" t="s">
        <v>826</v>
      </c>
    </row>
    <row r="17" spans="2:4">
      <c r="B17" s="15"/>
      <c r="C17" s="15"/>
      <c r="D17" t="s">
        <v>827</v>
      </c>
    </row>
    <row r="18" spans="2:4">
      <c r="B18" s="15" t="s">
        <v>52</v>
      </c>
      <c r="C18" s="15" t="s">
        <v>828</v>
      </c>
      <c r="D18" t="s">
        <v>829</v>
      </c>
    </row>
    <row r="19" spans="2:4">
      <c r="B19" s="15"/>
      <c r="C19" s="15"/>
      <c r="D19" t="s">
        <v>830</v>
      </c>
    </row>
    <row r="20" spans="2:4">
      <c r="B20" s="15"/>
      <c r="C20" s="15"/>
      <c r="D20" t="s">
        <v>831</v>
      </c>
    </row>
    <row r="21" spans="2:4">
      <c r="B21" s="15" t="s">
        <v>24</v>
      </c>
      <c r="C21" s="15" t="s">
        <v>832</v>
      </c>
      <c r="D21" t="s">
        <v>833</v>
      </c>
    </row>
    <row r="22" spans="2:4">
      <c r="B22" s="15"/>
      <c r="C22" s="15"/>
      <c r="D22" t="s">
        <v>834</v>
      </c>
    </row>
    <row r="23" spans="2:4">
      <c r="B23" s="15"/>
      <c r="C23" s="15"/>
      <c r="D23" t="s">
        <v>835</v>
      </c>
    </row>
    <row r="24" spans="2:4">
      <c r="B24" s="15" t="s">
        <v>24</v>
      </c>
      <c r="C24" s="15" t="s">
        <v>836</v>
      </c>
      <c r="D24" t="s">
        <v>837</v>
      </c>
    </row>
    <row r="25" spans="2:4">
      <c r="B25" s="15"/>
      <c r="C25" s="15"/>
      <c r="D25" t="s">
        <v>838</v>
      </c>
    </row>
    <row r="26" spans="2:4">
      <c r="B26" s="15"/>
      <c r="C26" s="15"/>
      <c r="D26" t="s">
        <v>839</v>
      </c>
    </row>
    <row r="27" spans="2:4">
      <c r="B27" s="15" t="s">
        <v>24</v>
      </c>
      <c r="C27" s="15" t="s">
        <v>840</v>
      </c>
      <c r="D27" t="s">
        <v>841</v>
      </c>
    </row>
    <row r="28" spans="2:4">
      <c r="B28" s="15"/>
      <c r="C28" s="15"/>
      <c r="D28" t="s">
        <v>842</v>
      </c>
    </row>
    <row r="29" spans="2:4">
      <c r="B29" s="15"/>
      <c r="C29" s="15"/>
      <c r="D29" t="s">
        <v>843</v>
      </c>
    </row>
    <row r="30" spans="2:4">
      <c r="B30" s="15" t="s">
        <v>75</v>
      </c>
      <c r="C30" s="15" t="s">
        <v>844</v>
      </c>
      <c r="D30" t="s">
        <v>845</v>
      </c>
    </row>
    <row r="31" spans="2:4">
      <c r="B31" s="15"/>
      <c r="C31" s="15"/>
      <c r="D31" t="s">
        <v>846</v>
      </c>
    </row>
    <row r="32" spans="2:4">
      <c r="B32" s="15"/>
      <c r="C32" s="15"/>
      <c r="D32" t="s">
        <v>847</v>
      </c>
    </row>
    <row r="33" spans="2:4">
      <c r="B33" s="15" t="s">
        <v>75</v>
      </c>
      <c r="C33" s="15" t="s">
        <v>848</v>
      </c>
      <c r="D33" t="s">
        <v>849</v>
      </c>
    </row>
    <row r="34" spans="2:4">
      <c r="B34" s="15"/>
      <c r="C34" s="15"/>
      <c r="D34" t="s">
        <v>850</v>
      </c>
    </row>
    <row r="35" spans="2:4">
      <c r="B35" s="15"/>
      <c r="C35" s="15"/>
      <c r="D35" t="s">
        <v>851</v>
      </c>
    </row>
    <row r="36" spans="2:4">
      <c r="B36" s="15" t="s">
        <v>75</v>
      </c>
      <c r="C36" s="15" t="s">
        <v>852</v>
      </c>
      <c r="D36" t="s">
        <v>853</v>
      </c>
    </row>
    <row r="37" spans="2:4">
      <c r="B37" s="15"/>
      <c r="C37" s="15"/>
      <c r="D37" t="s">
        <v>854</v>
      </c>
    </row>
    <row r="38" spans="2:4">
      <c r="B38" s="15"/>
      <c r="C38" s="15"/>
      <c r="D38" t="s">
        <v>855</v>
      </c>
    </row>
    <row r="39" spans="2:4">
      <c r="B39" s="15" t="s">
        <v>40</v>
      </c>
      <c r="C39" s="15" t="s">
        <v>856</v>
      </c>
      <c r="D39" t="s">
        <v>857</v>
      </c>
    </row>
    <row r="40" spans="2:4">
      <c r="B40" s="15"/>
      <c r="C40" s="15"/>
      <c r="D40" t="s">
        <v>858</v>
      </c>
    </row>
    <row r="41" spans="2:4">
      <c r="B41" s="15"/>
      <c r="C41" s="15"/>
      <c r="D41" t="s">
        <v>859</v>
      </c>
    </row>
    <row r="42" spans="2:4">
      <c r="B42" s="15" t="s">
        <v>40</v>
      </c>
      <c r="C42" s="15" t="s">
        <v>860</v>
      </c>
      <c r="D42" t="s">
        <v>861</v>
      </c>
    </row>
    <row r="43" spans="2:4">
      <c r="B43" s="15"/>
      <c r="C43" s="15"/>
      <c r="D43" t="s">
        <v>862</v>
      </c>
    </row>
    <row r="44" spans="2:4">
      <c r="B44" s="15"/>
      <c r="C44" s="15"/>
      <c r="D44" t="s">
        <v>863</v>
      </c>
    </row>
    <row r="45" spans="2:4">
      <c r="B45" s="15" t="s">
        <v>40</v>
      </c>
      <c r="C45" s="15" t="s">
        <v>864</v>
      </c>
      <c r="D45" t="s">
        <v>865</v>
      </c>
    </row>
    <row r="46" spans="2:4">
      <c r="D46" t="s">
        <v>866</v>
      </c>
    </row>
    <row r="47" spans="2:4">
      <c r="D47" t="s">
        <v>867</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G23" sqref="G23"/>
    </sheetView>
  </sheetViews>
  <sheetFormatPr defaultColWidth="8.72115384615385" defaultRowHeight="16.8" outlineLevelCol="3"/>
  <cols>
    <col min="1" max="1" width="36.6346153846154" customWidth="1"/>
    <col min="2" max="2" width="45.6346153846154" customWidth="1"/>
    <col min="3" max="4" width="30.6346153846154" customWidth="1"/>
  </cols>
  <sheetData>
    <row r="1" spans="1:4">
      <c r="A1" s="10" t="s">
        <v>868</v>
      </c>
      <c r="B1" s="10" t="s">
        <v>869</v>
      </c>
      <c r="C1" s="10" t="s">
        <v>870</v>
      </c>
      <c r="D1" s="10" t="s">
        <v>871</v>
      </c>
    </row>
    <row r="2" spans="1:4">
      <c r="A2" s="11" t="s">
        <v>358</v>
      </c>
      <c r="B2" s="11" t="s">
        <v>358</v>
      </c>
      <c r="C2" s="12" t="s">
        <v>391</v>
      </c>
      <c r="D2" s="11" t="s">
        <v>872</v>
      </c>
    </row>
    <row r="3" spans="1:4">
      <c r="A3" s="11" t="s">
        <v>293</v>
      </c>
      <c r="B3" s="11" t="s">
        <v>293</v>
      </c>
      <c r="C3" s="12" t="s">
        <v>873</v>
      </c>
      <c r="D3" s="11" t="s">
        <v>872</v>
      </c>
    </row>
    <row r="4" ht="28" spans="1:4">
      <c r="A4" s="13" t="s">
        <v>874</v>
      </c>
      <c r="B4" s="13" t="s">
        <v>875</v>
      </c>
      <c r="C4" s="12" t="s">
        <v>876</v>
      </c>
      <c r="D4" s="11" t="s">
        <v>872</v>
      </c>
    </row>
    <row r="5" spans="1:4">
      <c r="A5" s="11" t="s">
        <v>295</v>
      </c>
      <c r="B5" s="11" t="s">
        <v>295</v>
      </c>
      <c r="C5" s="12" t="s">
        <v>873</v>
      </c>
      <c r="D5" s="11" t="s">
        <v>872</v>
      </c>
    </row>
    <row r="6" ht="28" spans="1:4">
      <c r="A6" s="11" t="s">
        <v>348</v>
      </c>
      <c r="B6" s="11" t="s">
        <v>348</v>
      </c>
      <c r="C6" s="12" t="s">
        <v>876</v>
      </c>
      <c r="D6" s="11" t="s">
        <v>872</v>
      </c>
    </row>
    <row r="7" spans="1:4">
      <c r="A7" s="11" t="s">
        <v>361</v>
      </c>
      <c r="B7" s="11" t="s">
        <v>361</v>
      </c>
      <c r="C7" s="12" t="s">
        <v>873</v>
      </c>
      <c r="D7" s="11" t="s">
        <v>872</v>
      </c>
    </row>
    <row r="8" spans="1:4">
      <c r="A8" s="11" t="s">
        <v>242</v>
      </c>
      <c r="B8" s="11" t="s">
        <v>242</v>
      </c>
      <c r="C8" s="12" t="s">
        <v>452</v>
      </c>
      <c r="D8" s="11" t="s">
        <v>872</v>
      </c>
    </row>
    <row r="9" spans="1:4">
      <c r="A9" s="11" t="s">
        <v>312</v>
      </c>
      <c r="B9" s="11" t="s">
        <v>312</v>
      </c>
      <c r="C9" s="12" t="s">
        <v>873</v>
      </c>
      <c r="D9" s="11" t="s">
        <v>872</v>
      </c>
    </row>
    <row r="10" spans="1:4">
      <c r="A10" s="11" t="s">
        <v>219</v>
      </c>
      <c r="B10" s="11" t="s">
        <v>219</v>
      </c>
      <c r="C10" s="12" t="s">
        <v>876</v>
      </c>
      <c r="D10" s="11" t="s">
        <v>872</v>
      </c>
    </row>
    <row r="11" spans="1:4">
      <c r="A11" s="11" t="s">
        <v>211</v>
      </c>
      <c r="B11" s="11" t="s">
        <v>211</v>
      </c>
      <c r="C11" s="12" t="s">
        <v>876</v>
      </c>
      <c r="D11" s="11" t="s">
        <v>872</v>
      </c>
    </row>
    <row r="12" ht="41" spans="1:4">
      <c r="A12" s="13" t="s">
        <v>877</v>
      </c>
      <c r="B12" s="13" t="s">
        <v>878</v>
      </c>
      <c r="C12" s="12" t="s">
        <v>876</v>
      </c>
      <c r="D12" s="11" t="s">
        <v>872</v>
      </c>
    </row>
    <row r="13" ht="55" spans="1:4">
      <c r="A13" s="14" t="s">
        <v>879</v>
      </c>
      <c r="B13" s="14" t="s">
        <v>880</v>
      </c>
      <c r="C13" s="12" t="s">
        <v>876</v>
      </c>
      <c r="D13" s="11" t="s">
        <v>872</v>
      </c>
    </row>
    <row r="14" ht="41" spans="1:4">
      <c r="A14" s="12" t="s">
        <v>881</v>
      </c>
      <c r="B14" s="12" t="s">
        <v>882</v>
      </c>
      <c r="C14" s="12" t="s">
        <v>873</v>
      </c>
      <c r="D14" s="11" t="s">
        <v>872</v>
      </c>
    </row>
    <row r="15" spans="1:4">
      <c r="A15" s="11" t="s">
        <v>220</v>
      </c>
      <c r="B15" s="11" t="s">
        <v>220</v>
      </c>
      <c r="C15" s="12" t="s">
        <v>873</v>
      </c>
      <c r="D15" s="11" t="s">
        <v>872</v>
      </c>
    </row>
    <row r="16" ht="28" spans="1:4">
      <c r="A16" s="11" t="s">
        <v>883</v>
      </c>
      <c r="B16" s="12" t="s">
        <v>884</v>
      </c>
      <c r="C16" s="12" t="s">
        <v>873</v>
      </c>
      <c r="D16" s="11" t="s">
        <v>872</v>
      </c>
    </row>
    <row r="17" spans="1:4">
      <c r="A17" s="11" t="s">
        <v>885</v>
      </c>
      <c r="B17" s="11" t="s">
        <v>885</v>
      </c>
      <c r="C17" s="12" t="s">
        <v>873</v>
      </c>
      <c r="D17" s="11" t="s">
        <v>872</v>
      </c>
    </row>
    <row r="18" ht="41" spans="1:4">
      <c r="A18" s="12" t="s">
        <v>886</v>
      </c>
      <c r="B18" s="12" t="s">
        <v>887</v>
      </c>
      <c r="C18" s="12" t="s">
        <v>873</v>
      </c>
      <c r="D18" s="11" t="s">
        <v>872</v>
      </c>
    </row>
    <row r="19" spans="1:4">
      <c r="A19" s="11" t="s">
        <v>199</v>
      </c>
      <c r="B19" s="11" t="s">
        <v>199</v>
      </c>
      <c r="C19" s="12" t="s">
        <v>391</v>
      </c>
      <c r="D19" s="11" t="s">
        <v>872</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3"/>
  <sheetViews>
    <sheetView workbookViewId="0">
      <selection activeCell="A3" sqref="$A3:$XFD193"/>
    </sheetView>
  </sheetViews>
  <sheetFormatPr defaultColWidth="9" defaultRowHeight="16.8"/>
  <cols>
    <col min="1" max="1" width="11.2596153846154" customWidth="1"/>
    <col min="2" max="2" width="4.375" customWidth="1"/>
    <col min="3" max="3" width="12.125" customWidth="1"/>
    <col min="4" max="4" width="15.375" customWidth="1"/>
    <col min="5" max="6" width="15.7596153846154" customWidth="1"/>
    <col min="7" max="7" width="10.375" customWidth="1"/>
    <col min="8" max="8" width="7.375" customWidth="1"/>
    <col min="9" max="9" width="33.7596153846154" customWidth="1"/>
    <col min="10" max="10" width="25.375" customWidth="1"/>
    <col min="11" max="11" width="30.375" customWidth="1"/>
  </cols>
  <sheetData>
    <row r="1" s="1" customFormat="1" ht="15.2" spans="1:11">
      <c r="A1" s="3" t="s">
        <v>1</v>
      </c>
      <c r="B1" s="3" t="s">
        <v>0</v>
      </c>
      <c r="C1" s="3" t="s">
        <v>2</v>
      </c>
      <c r="D1" s="4" t="s">
        <v>3</v>
      </c>
      <c r="E1" s="4" t="s">
        <v>4</v>
      </c>
      <c r="F1" s="4" t="s">
        <v>5</v>
      </c>
      <c r="G1" s="5" t="s">
        <v>6</v>
      </c>
      <c r="H1" s="5" t="s">
        <v>9</v>
      </c>
      <c r="I1" s="6" t="s">
        <v>11</v>
      </c>
      <c r="J1" s="6" t="s">
        <v>14</v>
      </c>
      <c r="K1" s="7" t="s">
        <v>15</v>
      </c>
    </row>
    <row r="2" s="2" customFormat="1" spans="1:11">
      <c r="A2" s="3" t="s">
        <v>16</v>
      </c>
      <c r="B2" s="8">
        <f>SUBTOTAL(103,$A$1:A2)-1</f>
        <v>1</v>
      </c>
      <c r="C2" s="3" t="s">
        <v>71</v>
      </c>
      <c r="D2" s="9" t="s">
        <v>18</v>
      </c>
      <c r="E2" s="3" t="s">
        <v>888</v>
      </c>
      <c r="F2" s="9" t="s">
        <v>44</v>
      </c>
      <c r="G2" s="3" t="s">
        <v>45</v>
      </c>
      <c r="H2" s="3"/>
      <c r="I2" s="6" t="s">
        <v>74</v>
      </c>
      <c r="J2" s="6" t="s">
        <v>75</v>
      </c>
      <c r="K2" s="7" t="s">
        <v>76</v>
      </c>
    </row>
    <row r="3" s="2" customFormat="1" spans="1:11">
      <c r="A3" s="3" t="s">
        <v>16</v>
      </c>
      <c r="B3" s="8">
        <f>SUBTOTAL(103,$A$1:A3)-1</f>
        <v>2</v>
      </c>
      <c r="C3" s="3" t="s">
        <v>62</v>
      </c>
      <c r="D3" s="9"/>
      <c r="E3" s="3" t="s">
        <v>888</v>
      </c>
      <c r="F3" s="9" t="s">
        <v>44</v>
      </c>
      <c r="G3" s="3" t="s">
        <v>45</v>
      </c>
      <c r="H3" s="3"/>
      <c r="I3" s="6" t="s">
        <v>70</v>
      </c>
      <c r="J3" s="6" t="s">
        <v>52</v>
      </c>
      <c r="K3" s="7" t="s">
        <v>65</v>
      </c>
    </row>
    <row r="4" s="2" customFormat="1" spans="1:11">
      <c r="A4" s="3" t="s">
        <v>16</v>
      </c>
      <c r="B4" s="8">
        <f>SUBTOTAL(103,$A$1:A4)-1</f>
        <v>3</v>
      </c>
      <c r="C4" s="3" t="s">
        <v>77</v>
      </c>
      <c r="D4" s="9"/>
      <c r="E4" s="3" t="s">
        <v>888</v>
      </c>
      <c r="F4" s="9" t="s">
        <v>44</v>
      </c>
      <c r="G4" s="3" t="s">
        <v>45</v>
      </c>
      <c r="H4" s="3"/>
      <c r="I4" s="6" t="s">
        <v>88</v>
      </c>
      <c r="J4" s="6" t="s">
        <v>84</v>
      </c>
      <c r="K4" s="7" t="s">
        <v>82</v>
      </c>
    </row>
    <row r="5" s="2" customFormat="1" spans="1:11">
      <c r="A5" s="3" t="s">
        <v>16</v>
      </c>
      <c r="B5" s="8">
        <f>SUBTOTAL(103,$A$1:A5)-1</f>
        <v>4</v>
      </c>
      <c r="C5" s="3" t="s">
        <v>77</v>
      </c>
      <c r="D5" s="9"/>
      <c r="E5" s="3" t="s">
        <v>888</v>
      </c>
      <c r="F5" s="9" t="s">
        <v>44</v>
      </c>
      <c r="G5" s="3" t="s">
        <v>45</v>
      </c>
      <c r="H5" s="3"/>
      <c r="I5" s="6" t="s">
        <v>87</v>
      </c>
      <c r="J5" s="6" t="s">
        <v>84</v>
      </c>
      <c r="K5" s="7" t="s">
        <v>80</v>
      </c>
    </row>
    <row r="6" s="2" customFormat="1" spans="1:11">
      <c r="A6" s="3" t="s">
        <v>16</v>
      </c>
      <c r="B6" s="8">
        <f>SUBTOTAL(103,$A$1:A6)-1</f>
        <v>5</v>
      </c>
      <c r="C6" s="3" t="s">
        <v>43</v>
      </c>
      <c r="D6" s="9"/>
      <c r="E6" s="3" t="s">
        <v>888</v>
      </c>
      <c r="F6" s="9" t="s">
        <v>44</v>
      </c>
      <c r="G6" s="3" t="s">
        <v>45</v>
      </c>
      <c r="H6" s="3"/>
      <c r="I6" s="6" t="s">
        <v>49</v>
      </c>
      <c r="J6" s="6" t="s">
        <v>40</v>
      </c>
      <c r="K6" s="7" t="s">
        <v>48</v>
      </c>
    </row>
    <row r="7" s="2" customFormat="1" spans="1:11">
      <c r="A7" s="3" t="s">
        <v>16</v>
      </c>
      <c r="B7" s="8">
        <f>SUBTOTAL(103,$A$1:A7)-1</f>
        <v>6</v>
      </c>
      <c r="C7" s="3" t="s">
        <v>43</v>
      </c>
      <c r="D7" s="9"/>
      <c r="E7" s="3" t="s">
        <v>888</v>
      </c>
      <c r="F7" s="9" t="s">
        <v>44</v>
      </c>
      <c r="G7" s="3" t="s">
        <v>45</v>
      </c>
      <c r="H7" s="3"/>
      <c r="I7" s="6" t="s">
        <v>47</v>
      </c>
      <c r="J7" s="6" t="s">
        <v>40</v>
      </c>
      <c r="K7" s="7" t="s">
        <v>48</v>
      </c>
    </row>
    <row r="8" s="2" customFormat="1" spans="1:11">
      <c r="A8" s="3" t="s">
        <v>16</v>
      </c>
      <c r="B8" s="8">
        <f>SUBTOTAL(103,$A$1:A8)-1</f>
        <v>7</v>
      </c>
      <c r="C8" s="3" t="s">
        <v>77</v>
      </c>
      <c r="D8" s="9"/>
      <c r="E8" s="3" t="s">
        <v>888</v>
      </c>
      <c r="F8" s="9"/>
      <c r="G8" s="3" t="s">
        <v>21</v>
      </c>
      <c r="H8" s="3"/>
      <c r="I8" s="6" t="s">
        <v>83</v>
      </c>
      <c r="J8" s="6" t="s">
        <v>84</v>
      </c>
      <c r="K8" s="7" t="s">
        <v>85</v>
      </c>
    </row>
    <row r="9" s="2" customFormat="1" spans="1:11">
      <c r="A9" s="3" t="s">
        <v>16</v>
      </c>
      <c r="B9" s="8">
        <f>SUBTOTAL(103,$A$1:A9)-1</f>
        <v>8</v>
      </c>
      <c r="C9" s="3" t="s">
        <v>17</v>
      </c>
      <c r="D9" s="9"/>
      <c r="E9" s="3" t="s">
        <v>888</v>
      </c>
      <c r="F9" s="9"/>
      <c r="G9" s="3" t="s">
        <v>21</v>
      </c>
      <c r="H9" s="3"/>
      <c r="I9" s="6" t="s">
        <v>889</v>
      </c>
      <c r="J9" s="6" t="s">
        <v>24</v>
      </c>
      <c r="K9" s="7" t="s">
        <v>35</v>
      </c>
    </row>
    <row r="10" s="2" customFormat="1" spans="1:11">
      <c r="A10" s="3" t="s">
        <v>16</v>
      </c>
      <c r="B10" s="8">
        <f>SUBTOTAL(103,$A$1:A10)-1</f>
        <v>9</v>
      </c>
      <c r="C10" s="3" t="s">
        <v>17</v>
      </c>
      <c r="D10" s="9"/>
      <c r="E10" s="3" t="s">
        <v>888</v>
      </c>
      <c r="F10" s="9"/>
      <c r="G10" s="3" t="s">
        <v>21</v>
      </c>
      <c r="H10" s="3"/>
      <c r="I10" s="6" t="s">
        <v>29</v>
      </c>
      <c r="J10" s="6" t="s">
        <v>24</v>
      </c>
      <c r="K10" s="7" t="s">
        <v>30</v>
      </c>
    </row>
    <row r="11" s="2" customFormat="1" spans="1:11">
      <c r="A11" s="3" t="s">
        <v>16</v>
      </c>
      <c r="B11" s="8">
        <f>SUBTOTAL(103,$A$1:A11)-1</f>
        <v>10</v>
      </c>
      <c r="C11" s="3" t="s">
        <v>17</v>
      </c>
      <c r="D11" s="9"/>
      <c r="E11" s="3" t="s">
        <v>888</v>
      </c>
      <c r="F11" s="9"/>
      <c r="G11" s="3" t="s">
        <v>21</v>
      </c>
      <c r="H11" s="3"/>
      <c r="I11" s="6" t="s">
        <v>27</v>
      </c>
      <c r="J11" s="6" t="s">
        <v>24</v>
      </c>
      <c r="K11" s="7" t="s">
        <v>25</v>
      </c>
    </row>
    <row r="12" s="2" customFormat="1" spans="1:11">
      <c r="A12" s="3" t="s">
        <v>16</v>
      </c>
      <c r="B12" s="8">
        <f>SUBTOTAL(103,$A$1:A12)-1</f>
        <v>11</v>
      </c>
      <c r="C12" s="3" t="s">
        <v>17</v>
      </c>
      <c r="D12" s="9"/>
      <c r="E12" s="3" t="s">
        <v>888</v>
      </c>
      <c r="F12" s="9"/>
      <c r="G12" s="3" t="s">
        <v>21</v>
      </c>
      <c r="H12" s="3"/>
      <c r="I12" s="6" t="s">
        <v>23</v>
      </c>
      <c r="J12" s="6" t="s">
        <v>24</v>
      </c>
      <c r="K12" s="7" t="s">
        <v>25</v>
      </c>
    </row>
    <row r="13" s="2" customFormat="1" spans="1:11">
      <c r="A13" s="3" t="s">
        <v>16</v>
      </c>
      <c r="B13" s="8">
        <f>SUBTOTAL(103,$A$1:A13)-1</f>
        <v>12</v>
      </c>
      <c r="C13" s="3" t="s">
        <v>38</v>
      </c>
      <c r="D13" s="9"/>
      <c r="E13" s="3" t="s">
        <v>888</v>
      </c>
      <c r="F13" s="9"/>
      <c r="G13" s="3" t="s">
        <v>21</v>
      </c>
      <c r="H13" s="3"/>
      <c r="I13" s="6" t="s">
        <v>39</v>
      </c>
      <c r="J13" s="6" t="s">
        <v>40</v>
      </c>
      <c r="K13" s="7" t="s">
        <v>41</v>
      </c>
    </row>
    <row r="14" s="2" customFormat="1" spans="1:11">
      <c r="A14" s="3" t="s">
        <v>16</v>
      </c>
      <c r="B14" s="8">
        <f>SUBTOTAL(103,$A$1:A14)-1</f>
        <v>13</v>
      </c>
      <c r="C14" s="3" t="s">
        <v>50</v>
      </c>
      <c r="D14" s="9"/>
      <c r="E14" s="3" t="s">
        <v>888</v>
      </c>
      <c r="F14" s="9"/>
      <c r="G14" s="3" t="s">
        <v>21</v>
      </c>
      <c r="H14" s="3"/>
      <c r="I14" s="6" t="s">
        <v>59</v>
      </c>
      <c r="J14" s="6" t="s">
        <v>40</v>
      </c>
      <c r="K14" s="7" t="s">
        <v>60</v>
      </c>
    </row>
    <row r="15" s="2" customFormat="1" spans="1:11">
      <c r="A15" s="3" t="s">
        <v>16</v>
      </c>
      <c r="B15" s="8">
        <f>SUBTOTAL(103,$A$1:A15)-1</f>
        <v>14</v>
      </c>
      <c r="C15" s="3" t="s">
        <v>50</v>
      </c>
      <c r="D15" s="9"/>
      <c r="E15" s="3" t="s">
        <v>888</v>
      </c>
      <c r="F15" s="9"/>
      <c r="G15" s="3" t="s">
        <v>21</v>
      </c>
      <c r="H15" s="3"/>
      <c r="I15" s="6" t="s">
        <v>55</v>
      </c>
      <c r="J15" s="6" t="s">
        <v>40</v>
      </c>
      <c r="K15" s="7" t="s">
        <v>56</v>
      </c>
    </row>
    <row r="16" s="2" customFormat="1" spans="1:11">
      <c r="A16" s="3" t="s">
        <v>16</v>
      </c>
      <c r="B16" s="8">
        <f>SUBTOTAL(103,$A$1:A16)-1</f>
        <v>15</v>
      </c>
      <c r="C16" s="3" t="s">
        <v>50</v>
      </c>
      <c r="D16" s="9"/>
      <c r="E16" s="3" t="s">
        <v>888</v>
      </c>
      <c r="F16" s="9"/>
      <c r="G16" s="3" t="s">
        <v>21</v>
      </c>
      <c r="H16" s="3"/>
      <c r="I16" s="6" t="s">
        <v>51</v>
      </c>
      <c r="J16" s="6" t="s">
        <v>52</v>
      </c>
      <c r="K16" s="7" t="s">
        <v>53</v>
      </c>
    </row>
    <row r="17" s="2" customFormat="1" spans="1:11">
      <c r="A17" s="3" t="s">
        <v>16</v>
      </c>
      <c r="B17" s="8">
        <f>SUBTOTAL(103,$A$1:A17)-1</f>
        <v>16</v>
      </c>
      <c r="C17" s="3" t="s">
        <v>62</v>
      </c>
      <c r="D17" s="9"/>
      <c r="E17" s="3" t="s">
        <v>888</v>
      </c>
      <c r="F17" s="9"/>
      <c r="G17" s="3" t="s">
        <v>21</v>
      </c>
      <c r="H17" s="3"/>
      <c r="I17" s="6" t="s">
        <v>66</v>
      </c>
      <c r="J17" s="6" t="s">
        <v>52</v>
      </c>
      <c r="K17" s="7" t="s">
        <v>67</v>
      </c>
    </row>
    <row r="18" s="2" customFormat="1" spans="1:11">
      <c r="A18" s="3" t="s">
        <v>89</v>
      </c>
      <c r="B18" s="8">
        <f>SUBTOTAL(103,$A$1:A18)-1</f>
        <v>17</v>
      </c>
      <c r="C18" s="3" t="s">
        <v>38</v>
      </c>
      <c r="D18" s="9"/>
      <c r="E18" s="3" t="s">
        <v>890</v>
      </c>
      <c r="F18" s="9" t="s">
        <v>114</v>
      </c>
      <c r="G18" s="3" t="s">
        <v>45</v>
      </c>
      <c r="H18" s="3"/>
      <c r="I18" s="6" t="s">
        <v>130</v>
      </c>
      <c r="J18" s="6" t="s">
        <v>52</v>
      </c>
      <c r="K18" s="7" t="s">
        <v>120</v>
      </c>
    </row>
    <row r="19" s="2" customFormat="1" spans="1:11">
      <c r="A19" s="3" t="s">
        <v>89</v>
      </c>
      <c r="B19" s="8">
        <f>SUBTOTAL(103,$A$1:A19)-1</f>
        <v>18</v>
      </c>
      <c r="C19" s="3" t="s">
        <v>149</v>
      </c>
      <c r="D19" s="9"/>
      <c r="E19" s="3" t="s">
        <v>890</v>
      </c>
      <c r="F19" s="9" t="s">
        <v>114</v>
      </c>
      <c r="G19" s="3" t="s">
        <v>45</v>
      </c>
      <c r="H19" s="3"/>
      <c r="I19" s="6" t="s">
        <v>156</v>
      </c>
      <c r="J19" s="6" t="s">
        <v>52</v>
      </c>
      <c r="K19" s="7" t="s">
        <v>155</v>
      </c>
    </row>
    <row r="20" s="2" customFormat="1" spans="1:11">
      <c r="A20" s="3" t="s">
        <v>89</v>
      </c>
      <c r="B20" s="8">
        <f>SUBTOTAL(103,$A$1:A20)-1</f>
        <v>19</v>
      </c>
      <c r="C20" s="3" t="s">
        <v>71</v>
      </c>
      <c r="D20" s="9"/>
      <c r="E20" s="3" t="s">
        <v>890</v>
      </c>
      <c r="F20" s="9" t="s">
        <v>114</v>
      </c>
      <c r="G20" s="3" t="s">
        <v>45</v>
      </c>
      <c r="H20" s="3"/>
      <c r="I20" s="6" t="s">
        <v>161</v>
      </c>
      <c r="J20" s="6" t="s">
        <v>52</v>
      </c>
      <c r="K20" s="7" t="s">
        <v>142</v>
      </c>
    </row>
    <row r="21" s="2" customFormat="1" spans="1:11">
      <c r="A21" s="3" t="s">
        <v>89</v>
      </c>
      <c r="B21" s="8">
        <f>SUBTOTAL(103,$A$1:A21)-1</f>
        <v>20</v>
      </c>
      <c r="C21" s="3" t="s">
        <v>17</v>
      </c>
      <c r="D21" s="9"/>
      <c r="E21" s="3" t="s">
        <v>890</v>
      </c>
      <c r="F21" s="9" t="s">
        <v>114</v>
      </c>
      <c r="G21" s="3" t="s">
        <v>45</v>
      </c>
      <c r="H21" s="3"/>
      <c r="I21" s="6" t="s">
        <v>116</v>
      </c>
      <c r="J21" s="6" t="s">
        <v>24</v>
      </c>
      <c r="K21" s="7" t="s">
        <v>111</v>
      </c>
    </row>
    <row r="22" s="2" customFormat="1" spans="1:11">
      <c r="A22" s="3" t="s">
        <v>89</v>
      </c>
      <c r="B22" s="8">
        <f>SUBTOTAL(103,$A$1:A22)-1</f>
        <v>21</v>
      </c>
      <c r="C22" s="3" t="s">
        <v>17</v>
      </c>
      <c r="D22" s="9"/>
      <c r="E22" s="3" t="s">
        <v>890</v>
      </c>
      <c r="F22" s="9" t="s">
        <v>114</v>
      </c>
      <c r="G22" s="3" t="s">
        <v>45</v>
      </c>
      <c r="H22" s="3"/>
      <c r="I22" s="6" t="s">
        <v>118</v>
      </c>
      <c r="J22" s="6" t="s">
        <v>24</v>
      </c>
      <c r="K22" s="7" t="s">
        <v>171</v>
      </c>
    </row>
    <row r="23" s="2" customFormat="1" spans="1:11">
      <c r="A23" s="3" t="s">
        <v>89</v>
      </c>
      <c r="B23" s="8">
        <f>SUBTOTAL(103,$A$1:A23)-1</f>
        <v>22</v>
      </c>
      <c r="C23" s="3" t="s">
        <v>38</v>
      </c>
      <c r="D23" s="9"/>
      <c r="E23" s="3" t="s">
        <v>890</v>
      </c>
      <c r="F23" s="9" t="s">
        <v>114</v>
      </c>
      <c r="G23" s="3" t="s">
        <v>45</v>
      </c>
      <c r="H23" s="3"/>
      <c r="I23" s="6" t="s">
        <v>133</v>
      </c>
      <c r="J23" s="6" t="s">
        <v>24</v>
      </c>
      <c r="K23" s="7" t="s">
        <v>134</v>
      </c>
    </row>
    <row r="24" s="2" customFormat="1" spans="1:11">
      <c r="A24" s="3" t="s">
        <v>89</v>
      </c>
      <c r="B24" s="8">
        <f>SUBTOTAL(103,$A$1:A24)-1</f>
        <v>23</v>
      </c>
      <c r="C24" s="3" t="s">
        <v>77</v>
      </c>
      <c r="D24" s="9"/>
      <c r="E24" s="3" t="s">
        <v>890</v>
      </c>
      <c r="F24" s="9" t="s">
        <v>114</v>
      </c>
      <c r="G24" s="3" t="s">
        <v>45</v>
      </c>
      <c r="H24" s="3"/>
      <c r="I24" s="6" t="s">
        <v>177</v>
      </c>
      <c r="J24" s="6" t="s">
        <v>84</v>
      </c>
      <c r="K24" s="7" t="s">
        <v>169</v>
      </c>
    </row>
    <row r="25" s="2" customFormat="1" spans="1:11">
      <c r="A25" s="3" t="s">
        <v>89</v>
      </c>
      <c r="B25" s="8">
        <f>SUBTOTAL(103,$A$1:A25)-1</f>
        <v>24</v>
      </c>
      <c r="C25" s="3" t="s">
        <v>77</v>
      </c>
      <c r="D25" s="9"/>
      <c r="E25" s="3" t="s">
        <v>890</v>
      </c>
      <c r="F25" s="9" t="s">
        <v>114</v>
      </c>
      <c r="G25" s="3" t="s">
        <v>45</v>
      </c>
      <c r="H25" s="3"/>
      <c r="I25" s="6" t="s">
        <v>178</v>
      </c>
      <c r="J25" s="6" t="s">
        <v>84</v>
      </c>
      <c r="K25" s="7" t="s">
        <v>169</v>
      </c>
    </row>
    <row r="26" s="2" customFormat="1" spans="1:11">
      <c r="A26" s="3" t="s">
        <v>89</v>
      </c>
      <c r="B26" s="8">
        <f>SUBTOTAL(103,$A$1:A26)-1</f>
        <v>25</v>
      </c>
      <c r="C26" s="3" t="s">
        <v>50</v>
      </c>
      <c r="D26" s="9"/>
      <c r="E26" s="3" t="s">
        <v>890</v>
      </c>
      <c r="F26" s="9" t="s">
        <v>114</v>
      </c>
      <c r="G26" s="3" t="s">
        <v>45</v>
      </c>
      <c r="H26" s="3"/>
      <c r="I26" s="6" t="s">
        <v>144</v>
      </c>
      <c r="J26" s="6" t="s">
        <v>40</v>
      </c>
      <c r="K26" s="7" t="s">
        <v>142</v>
      </c>
    </row>
    <row r="27" s="2" customFormat="1" spans="1:11">
      <c r="A27" s="3" t="s">
        <v>89</v>
      </c>
      <c r="B27" s="8">
        <f>SUBTOTAL(103,$A$1:A27)-1</f>
        <v>26</v>
      </c>
      <c r="C27" s="3" t="s">
        <v>50</v>
      </c>
      <c r="D27" s="9"/>
      <c r="E27" s="3" t="s">
        <v>890</v>
      </c>
      <c r="F27" s="9" t="s">
        <v>114</v>
      </c>
      <c r="G27" s="3" t="s">
        <v>45</v>
      </c>
      <c r="H27" s="3"/>
      <c r="I27" s="6" t="s">
        <v>145</v>
      </c>
      <c r="J27" s="6" t="s">
        <v>40</v>
      </c>
      <c r="K27" s="7" t="s">
        <v>142</v>
      </c>
    </row>
    <row r="28" s="2" customFormat="1" spans="1:11">
      <c r="A28" s="3" t="s">
        <v>89</v>
      </c>
      <c r="B28" s="8">
        <f>SUBTOTAL(103,$A$1:A28)-1</f>
        <v>27</v>
      </c>
      <c r="C28" s="3" t="s">
        <v>71</v>
      </c>
      <c r="D28" s="9"/>
      <c r="E28" s="3" t="s">
        <v>890</v>
      </c>
      <c r="F28" s="9" t="s">
        <v>114</v>
      </c>
      <c r="G28" s="3" t="s">
        <v>45</v>
      </c>
      <c r="H28" s="3"/>
      <c r="I28" s="6" t="s">
        <v>223</v>
      </c>
      <c r="J28" s="6" t="s">
        <v>40</v>
      </c>
      <c r="K28" s="7" t="s">
        <v>224</v>
      </c>
    </row>
    <row r="29" s="2" customFormat="1" spans="1:11">
      <c r="A29" s="3" t="s">
        <v>89</v>
      </c>
      <c r="B29" s="8">
        <f>SUBTOTAL(103,$A$1:A29)-1</f>
        <v>28</v>
      </c>
      <c r="C29" s="3" t="s">
        <v>77</v>
      </c>
      <c r="D29" s="9"/>
      <c r="E29" s="3" t="s">
        <v>890</v>
      </c>
      <c r="F29" s="9"/>
      <c r="G29" s="3" t="s">
        <v>21</v>
      </c>
      <c r="H29" s="3"/>
      <c r="I29" s="6" t="s">
        <v>231</v>
      </c>
      <c r="J29" s="6" t="s">
        <v>84</v>
      </c>
      <c r="K29" s="7" t="s">
        <v>169</v>
      </c>
    </row>
    <row r="30" s="2" customFormat="1" spans="1:11">
      <c r="A30" s="3" t="s">
        <v>89</v>
      </c>
      <c r="B30" s="8">
        <f>SUBTOTAL(103,$A$1:A30)-1</f>
        <v>29</v>
      </c>
      <c r="C30" s="3" t="s">
        <v>77</v>
      </c>
      <c r="D30" s="9"/>
      <c r="E30" s="3" t="s">
        <v>890</v>
      </c>
      <c r="F30" s="9"/>
      <c r="G30" s="3" t="s">
        <v>21</v>
      </c>
      <c r="H30" s="3"/>
      <c r="I30" s="6" t="s">
        <v>176</v>
      </c>
      <c r="J30" s="6" t="s">
        <v>84</v>
      </c>
      <c r="K30" s="7" t="s">
        <v>167</v>
      </c>
    </row>
    <row r="31" s="2" customFormat="1" spans="1:11">
      <c r="A31" s="3" t="s">
        <v>89</v>
      </c>
      <c r="B31" s="8">
        <f>SUBTOTAL(103,$A$1:A31)-1</f>
        <v>30</v>
      </c>
      <c r="C31" s="3" t="s">
        <v>77</v>
      </c>
      <c r="D31" s="9"/>
      <c r="E31" s="3" t="s">
        <v>890</v>
      </c>
      <c r="F31" s="9"/>
      <c r="G31" s="3" t="s">
        <v>21</v>
      </c>
      <c r="H31" s="3"/>
      <c r="I31" s="6" t="s">
        <v>174</v>
      </c>
      <c r="J31" s="6" t="s">
        <v>84</v>
      </c>
      <c r="K31" s="7" t="s">
        <v>175</v>
      </c>
    </row>
    <row r="32" s="2" customFormat="1" spans="1:11">
      <c r="A32" s="3" t="s">
        <v>89</v>
      </c>
      <c r="B32" s="8">
        <f>SUBTOTAL(103,$A$1:A32)-1</f>
        <v>31</v>
      </c>
      <c r="C32" s="3" t="s">
        <v>77</v>
      </c>
      <c r="D32" s="9"/>
      <c r="E32" s="3" t="s">
        <v>890</v>
      </c>
      <c r="F32" s="9"/>
      <c r="G32" s="3" t="s">
        <v>21</v>
      </c>
      <c r="H32" s="3"/>
      <c r="I32" s="6" t="s">
        <v>172</v>
      </c>
      <c r="J32" s="6" t="s">
        <v>84</v>
      </c>
      <c r="K32" s="7" t="s">
        <v>173</v>
      </c>
    </row>
    <row r="33" s="2" customFormat="1" spans="1:11">
      <c r="A33" s="3" t="s">
        <v>89</v>
      </c>
      <c r="B33" s="8">
        <f>SUBTOTAL(103,$A$1:A33)-1</f>
        <v>32</v>
      </c>
      <c r="C33" s="3" t="s">
        <v>17</v>
      </c>
      <c r="D33" s="9"/>
      <c r="E33" s="3" t="s">
        <v>890</v>
      </c>
      <c r="F33" s="9"/>
      <c r="G33" s="3" t="s">
        <v>21</v>
      </c>
      <c r="H33" s="3"/>
      <c r="I33" s="6" t="s">
        <v>113</v>
      </c>
      <c r="J33" s="6" t="s">
        <v>24</v>
      </c>
      <c r="K33" s="7" t="s">
        <v>111</v>
      </c>
    </row>
    <row r="34" s="2" customFormat="1" spans="1:11">
      <c r="A34" s="3" t="s">
        <v>89</v>
      </c>
      <c r="B34" s="8">
        <f>SUBTOTAL(103,$A$1:A34)-1</f>
        <v>33</v>
      </c>
      <c r="C34" s="3" t="s">
        <v>17</v>
      </c>
      <c r="D34" s="9"/>
      <c r="E34" s="3" t="s">
        <v>890</v>
      </c>
      <c r="F34" s="9"/>
      <c r="G34" s="3" t="s">
        <v>21</v>
      </c>
      <c r="H34" s="3"/>
      <c r="I34" s="6" t="s">
        <v>110</v>
      </c>
      <c r="J34" s="6" t="s">
        <v>24</v>
      </c>
      <c r="K34" s="7" t="s">
        <v>111</v>
      </c>
    </row>
    <row r="35" s="2" customFormat="1" spans="1:11">
      <c r="A35" s="3" t="s">
        <v>89</v>
      </c>
      <c r="B35" s="8">
        <f>SUBTOTAL(103,$A$1:A35)-1</f>
        <v>34</v>
      </c>
      <c r="C35" s="3" t="s">
        <v>17</v>
      </c>
      <c r="D35" s="9"/>
      <c r="E35" s="3" t="s">
        <v>890</v>
      </c>
      <c r="F35" s="9"/>
      <c r="G35" s="3" t="s">
        <v>21</v>
      </c>
      <c r="H35" s="3"/>
      <c r="I35" s="6" t="s">
        <v>103</v>
      </c>
      <c r="J35" s="6" t="s">
        <v>24</v>
      </c>
      <c r="K35" s="7" t="s">
        <v>891</v>
      </c>
    </row>
    <row r="36" s="2" customFormat="1" spans="1:11">
      <c r="A36" s="3" t="s">
        <v>89</v>
      </c>
      <c r="B36" s="8">
        <f>SUBTOTAL(103,$A$1:A36)-1</f>
        <v>35</v>
      </c>
      <c r="C36" s="3" t="s">
        <v>17</v>
      </c>
      <c r="D36" s="9"/>
      <c r="E36" s="3" t="s">
        <v>890</v>
      </c>
      <c r="F36" s="9"/>
      <c r="G36" s="3" t="s">
        <v>21</v>
      </c>
      <c r="H36" s="3"/>
      <c r="I36" s="6" t="s">
        <v>101</v>
      </c>
      <c r="J36" s="6" t="s">
        <v>24</v>
      </c>
      <c r="K36" s="7" t="s">
        <v>891</v>
      </c>
    </row>
    <row r="37" s="2" customFormat="1" spans="1:11">
      <c r="A37" s="3" t="s">
        <v>89</v>
      </c>
      <c r="B37" s="8">
        <f>SUBTOTAL(103,$A$1:A37)-1</f>
        <v>36</v>
      </c>
      <c r="C37" s="3" t="s">
        <v>17</v>
      </c>
      <c r="D37" s="9"/>
      <c r="E37" s="3" t="s">
        <v>890</v>
      </c>
      <c r="F37" s="9"/>
      <c r="G37" s="3" t="s">
        <v>21</v>
      </c>
      <c r="H37" s="3"/>
      <c r="I37" s="6" t="s">
        <v>170</v>
      </c>
      <c r="J37" s="6" t="s">
        <v>24</v>
      </c>
      <c r="K37" s="7" t="s">
        <v>171</v>
      </c>
    </row>
    <row r="38" s="2" customFormat="1" spans="1:11">
      <c r="A38" s="3" t="s">
        <v>89</v>
      </c>
      <c r="B38" s="8">
        <f>SUBTOTAL(103,$A$1:A38)-1</f>
        <v>37</v>
      </c>
      <c r="C38" s="3" t="s">
        <v>17</v>
      </c>
      <c r="D38" s="9"/>
      <c r="E38" s="3" t="s">
        <v>890</v>
      </c>
      <c r="F38" s="9"/>
      <c r="G38" s="3" t="s">
        <v>21</v>
      </c>
      <c r="H38" s="3"/>
      <c r="I38" s="6" t="s">
        <v>108</v>
      </c>
      <c r="J38" s="6" t="s">
        <v>24</v>
      </c>
      <c r="K38" s="7" t="s">
        <v>171</v>
      </c>
    </row>
    <row r="39" s="2" customFormat="1" spans="1:11">
      <c r="A39" s="3" t="s">
        <v>89</v>
      </c>
      <c r="B39" s="8">
        <f>SUBTOTAL(103,$A$1:A39)-1</f>
        <v>38</v>
      </c>
      <c r="C39" s="3" t="s">
        <v>17</v>
      </c>
      <c r="D39" s="9"/>
      <c r="E39" s="3" t="s">
        <v>890</v>
      </c>
      <c r="F39" s="9"/>
      <c r="G39" s="3" t="s">
        <v>21</v>
      </c>
      <c r="H39" s="3"/>
      <c r="I39" s="6" t="s">
        <v>96</v>
      </c>
      <c r="J39" s="6" t="s">
        <v>24</v>
      </c>
      <c r="K39" s="7" t="s">
        <v>94</v>
      </c>
    </row>
    <row r="40" s="2" customFormat="1" spans="1:11">
      <c r="A40" s="3" t="s">
        <v>89</v>
      </c>
      <c r="B40" s="8">
        <f>SUBTOTAL(103,$A$1:A40)-1</f>
        <v>39</v>
      </c>
      <c r="C40" s="3" t="s">
        <v>17</v>
      </c>
      <c r="D40" s="9"/>
      <c r="E40" s="3" t="s">
        <v>890</v>
      </c>
      <c r="F40" s="9"/>
      <c r="G40" s="3" t="s">
        <v>21</v>
      </c>
      <c r="H40" s="3"/>
      <c r="I40" s="6" t="s">
        <v>95</v>
      </c>
      <c r="J40" s="6" t="s">
        <v>24</v>
      </c>
      <c r="K40" s="7" t="s">
        <v>94</v>
      </c>
    </row>
    <row r="41" s="2" customFormat="1" spans="1:11">
      <c r="A41" s="3" t="s">
        <v>89</v>
      </c>
      <c r="B41" s="8">
        <f>SUBTOTAL(103,$A$1:A41)-1</f>
        <v>40</v>
      </c>
      <c r="C41" s="3" t="s">
        <v>17</v>
      </c>
      <c r="D41" s="9"/>
      <c r="E41" s="3" t="s">
        <v>890</v>
      </c>
      <c r="F41" s="9"/>
      <c r="G41" s="3" t="s">
        <v>21</v>
      </c>
      <c r="H41" s="3"/>
      <c r="I41" s="6" t="s">
        <v>93</v>
      </c>
      <c r="J41" s="6" t="s">
        <v>24</v>
      </c>
      <c r="K41" s="7" t="s">
        <v>94</v>
      </c>
    </row>
    <row r="42" s="2" customFormat="1" spans="1:11">
      <c r="A42" s="3" t="s">
        <v>89</v>
      </c>
      <c r="B42" s="8">
        <f>SUBTOTAL(103,$A$1:A42)-1</f>
        <v>41</v>
      </c>
      <c r="C42" s="3" t="s">
        <v>17</v>
      </c>
      <c r="D42" s="9"/>
      <c r="E42" s="3" t="s">
        <v>890</v>
      </c>
      <c r="F42" s="9"/>
      <c r="G42" s="3" t="s">
        <v>21</v>
      </c>
      <c r="H42" s="3"/>
      <c r="I42" s="6" t="s">
        <v>100</v>
      </c>
      <c r="J42" s="6" t="s">
        <v>24</v>
      </c>
      <c r="K42" s="7" t="s">
        <v>92</v>
      </c>
    </row>
    <row r="43" s="2" customFormat="1" spans="1:11">
      <c r="A43" s="3" t="s">
        <v>89</v>
      </c>
      <c r="B43" s="8">
        <f>SUBTOTAL(103,$A$1:A43)-1</f>
        <v>42</v>
      </c>
      <c r="C43" s="3" t="s">
        <v>17</v>
      </c>
      <c r="D43" s="9"/>
      <c r="E43" s="3" t="s">
        <v>890</v>
      </c>
      <c r="F43" s="9"/>
      <c r="G43" s="3" t="s">
        <v>21</v>
      </c>
      <c r="H43" s="3"/>
      <c r="I43" s="6" t="s">
        <v>106</v>
      </c>
      <c r="J43" s="6" t="s">
        <v>24</v>
      </c>
      <c r="K43" s="7" t="s">
        <v>92</v>
      </c>
    </row>
    <row r="44" s="2" customFormat="1" spans="1:11">
      <c r="A44" s="3" t="s">
        <v>89</v>
      </c>
      <c r="B44" s="8">
        <f>SUBTOTAL(103,$A$1:A44)-1</f>
        <v>43</v>
      </c>
      <c r="C44" s="3" t="s">
        <v>17</v>
      </c>
      <c r="D44" s="9"/>
      <c r="E44" s="3" t="s">
        <v>890</v>
      </c>
      <c r="F44" s="9"/>
      <c r="G44" s="3" t="s">
        <v>21</v>
      </c>
      <c r="H44" s="3"/>
      <c r="I44" s="6" t="s">
        <v>98</v>
      </c>
      <c r="J44" s="6" t="s">
        <v>24</v>
      </c>
      <c r="K44" s="7" t="s">
        <v>92</v>
      </c>
    </row>
    <row r="45" s="2" customFormat="1" spans="1:11">
      <c r="A45" s="3" t="s">
        <v>89</v>
      </c>
      <c r="B45" s="8">
        <f>SUBTOTAL(103,$A$1:A45)-1</f>
        <v>44</v>
      </c>
      <c r="C45" s="3" t="s">
        <v>17</v>
      </c>
      <c r="D45" s="9"/>
      <c r="E45" s="3" t="s">
        <v>890</v>
      </c>
      <c r="F45" s="9"/>
      <c r="G45" s="3" t="s">
        <v>21</v>
      </c>
      <c r="H45" s="3"/>
      <c r="I45" s="6" t="s">
        <v>91</v>
      </c>
      <c r="J45" s="6" t="s">
        <v>24</v>
      </c>
      <c r="K45" s="7" t="s">
        <v>92</v>
      </c>
    </row>
    <row r="46" s="2" customFormat="1" spans="1:11">
      <c r="A46" s="3" t="s">
        <v>89</v>
      </c>
      <c r="B46" s="8">
        <f>SUBTOTAL(103,$A$1:A46)-1</f>
        <v>45</v>
      </c>
      <c r="C46" s="3" t="s">
        <v>38</v>
      </c>
      <c r="D46" s="9"/>
      <c r="E46" s="3" t="s">
        <v>890</v>
      </c>
      <c r="F46" s="9"/>
      <c r="G46" s="3" t="s">
        <v>21</v>
      </c>
      <c r="H46" s="3"/>
      <c r="I46" s="6" t="s">
        <v>138</v>
      </c>
      <c r="J46" s="6" t="s">
        <v>24</v>
      </c>
      <c r="K46" s="7" t="s">
        <v>134</v>
      </c>
    </row>
    <row r="47" s="2" customFormat="1" spans="1:11">
      <c r="A47" s="3" t="s">
        <v>89</v>
      </c>
      <c r="B47" s="8">
        <f>SUBTOTAL(103,$A$1:A47)-1</f>
        <v>46</v>
      </c>
      <c r="C47" s="3" t="s">
        <v>38</v>
      </c>
      <c r="D47" s="9"/>
      <c r="E47" s="3" t="s">
        <v>890</v>
      </c>
      <c r="F47" s="9"/>
      <c r="G47" s="3" t="s">
        <v>21</v>
      </c>
      <c r="H47" s="3"/>
      <c r="I47" s="6" t="s">
        <v>137</v>
      </c>
      <c r="J47" s="6" t="s">
        <v>24</v>
      </c>
      <c r="K47" s="7" t="s">
        <v>134</v>
      </c>
    </row>
    <row r="48" s="2" customFormat="1" spans="1:11">
      <c r="A48" s="3" t="s">
        <v>89</v>
      </c>
      <c r="B48" s="8">
        <f>SUBTOTAL(103,$A$1:A48)-1</f>
        <v>47</v>
      </c>
      <c r="C48" s="3" t="s">
        <v>38</v>
      </c>
      <c r="D48" s="9"/>
      <c r="E48" s="3" t="s">
        <v>890</v>
      </c>
      <c r="F48" s="9"/>
      <c r="G48" s="3" t="s">
        <v>21</v>
      </c>
      <c r="H48" s="3"/>
      <c r="I48" s="6" t="s">
        <v>136</v>
      </c>
      <c r="J48" s="6" t="s">
        <v>24</v>
      </c>
      <c r="K48" s="7" t="s">
        <v>134</v>
      </c>
    </row>
    <row r="49" s="2" customFormat="1" spans="1:11">
      <c r="A49" s="3" t="s">
        <v>89</v>
      </c>
      <c r="B49" s="8">
        <f>SUBTOTAL(103,$A$1:A49)-1</f>
        <v>48</v>
      </c>
      <c r="C49" s="3" t="s">
        <v>38</v>
      </c>
      <c r="D49" s="9"/>
      <c r="E49" s="3" t="s">
        <v>890</v>
      </c>
      <c r="F49" s="9"/>
      <c r="G49" s="3" t="s">
        <v>21</v>
      </c>
      <c r="H49" s="3"/>
      <c r="I49" s="6" t="s">
        <v>135</v>
      </c>
      <c r="J49" s="6" t="s">
        <v>24</v>
      </c>
      <c r="K49" s="7" t="s">
        <v>134</v>
      </c>
    </row>
    <row r="50" s="2" customFormat="1" spans="1:11">
      <c r="A50" s="3" t="s">
        <v>89</v>
      </c>
      <c r="B50" s="8">
        <f>SUBTOTAL(103,$A$1:A50)-1</f>
        <v>49</v>
      </c>
      <c r="C50" s="3" t="s">
        <v>38</v>
      </c>
      <c r="D50" s="9"/>
      <c r="E50" s="3" t="s">
        <v>890</v>
      </c>
      <c r="F50" s="9"/>
      <c r="G50" s="3" t="s">
        <v>21</v>
      </c>
      <c r="H50" s="3"/>
      <c r="I50" s="6" t="s">
        <v>131</v>
      </c>
      <c r="J50" s="6" t="s">
        <v>52</v>
      </c>
      <c r="K50" s="7" t="s">
        <v>132</v>
      </c>
    </row>
    <row r="51" s="2" customFormat="1" spans="1:11">
      <c r="A51" s="3" t="s">
        <v>89</v>
      </c>
      <c r="B51" s="8">
        <f>SUBTOTAL(103,$A$1:A51)-1</f>
        <v>50</v>
      </c>
      <c r="C51" s="3" t="s">
        <v>38</v>
      </c>
      <c r="D51" s="9"/>
      <c r="E51" s="3" t="s">
        <v>890</v>
      </c>
      <c r="F51" s="9"/>
      <c r="G51" s="3" t="s">
        <v>21</v>
      </c>
      <c r="H51" s="3"/>
      <c r="I51" s="6" t="s">
        <v>129</v>
      </c>
      <c r="J51" s="6" t="s">
        <v>52</v>
      </c>
      <c r="K51" s="7" t="s">
        <v>120</v>
      </c>
    </row>
    <row r="52" s="2" customFormat="1" spans="1:11">
      <c r="A52" s="3" t="s">
        <v>89</v>
      </c>
      <c r="B52" s="8">
        <f>SUBTOTAL(103,$A$1:A52)-1</f>
        <v>51</v>
      </c>
      <c r="C52" s="3" t="s">
        <v>38</v>
      </c>
      <c r="D52" s="9"/>
      <c r="E52" s="3" t="s">
        <v>890</v>
      </c>
      <c r="F52" s="9"/>
      <c r="G52" s="3" t="s">
        <v>21</v>
      </c>
      <c r="H52" s="3"/>
      <c r="I52" s="6" t="s">
        <v>128</v>
      </c>
      <c r="J52" s="6" t="s">
        <v>40</v>
      </c>
      <c r="K52" s="7" t="s">
        <v>126</v>
      </c>
    </row>
    <row r="53" s="2" customFormat="1" spans="1:11">
      <c r="A53" s="3" t="s">
        <v>89</v>
      </c>
      <c r="B53" s="8">
        <f>SUBTOTAL(103,$A$1:A53)-1</f>
        <v>52</v>
      </c>
      <c r="C53" s="3" t="s">
        <v>38</v>
      </c>
      <c r="D53" s="9"/>
      <c r="E53" s="3" t="s">
        <v>890</v>
      </c>
      <c r="F53" s="9"/>
      <c r="G53" s="3" t="s">
        <v>21</v>
      </c>
      <c r="H53" s="3"/>
      <c r="I53" s="6" t="s">
        <v>127</v>
      </c>
      <c r="J53" s="6" t="s">
        <v>40</v>
      </c>
      <c r="K53" s="7" t="s">
        <v>126</v>
      </c>
    </row>
    <row r="54" s="2" customFormat="1" spans="1:11">
      <c r="A54" s="3" t="s">
        <v>89</v>
      </c>
      <c r="B54" s="8">
        <f>SUBTOTAL(103,$A$1:A54)-1</f>
        <v>53</v>
      </c>
      <c r="C54" s="3" t="s">
        <v>38</v>
      </c>
      <c r="D54" s="9"/>
      <c r="E54" s="3" t="s">
        <v>890</v>
      </c>
      <c r="F54" s="9"/>
      <c r="G54" s="3" t="s">
        <v>21</v>
      </c>
      <c r="H54" s="3"/>
      <c r="I54" s="6" t="s">
        <v>125</v>
      </c>
      <c r="J54" s="6" t="s">
        <v>40</v>
      </c>
      <c r="K54" s="7" t="s">
        <v>126</v>
      </c>
    </row>
    <row r="55" s="2" customFormat="1" spans="1:11">
      <c r="A55" s="3" t="s">
        <v>89</v>
      </c>
      <c r="B55" s="8">
        <f>SUBTOTAL(103,$A$1:A55)-1</f>
        <v>54</v>
      </c>
      <c r="C55" s="3" t="s">
        <v>149</v>
      </c>
      <c r="D55" s="9"/>
      <c r="E55" s="3" t="s">
        <v>890</v>
      </c>
      <c r="F55" s="9"/>
      <c r="G55" s="3" t="s">
        <v>21</v>
      </c>
      <c r="H55" s="3"/>
      <c r="I55" s="6" t="s">
        <v>154</v>
      </c>
      <c r="J55" s="6" t="s">
        <v>52</v>
      </c>
      <c r="K55" s="7" t="s">
        <v>155</v>
      </c>
    </row>
    <row r="56" s="2" customFormat="1" spans="1:11">
      <c r="A56" s="3" t="s">
        <v>89</v>
      </c>
      <c r="B56" s="8">
        <f>SUBTOTAL(103,$A$1:A56)-1</f>
        <v>55</v>
      </c>
      <c r="C56" s="3" t="s">
        <v>149</v>
      </c>
      <c r="D56" s="9"/>
      <c r="E56" s="3" t="s">
        <v>890</v>
      </c>
      <c r="F56" s="9"/>
      <c r="G56" s="3" t="s">
        <v>21</v>
      </c>
      <c r="H56" s="3"/>
      <c r="I56" s="6" t="s">
        <v>158</v>
      </c>
      <c r="J56" s="6" t="s">
        <v>52</v>
      </c>
      <c r="K56" s="7" t="s">
        <v>151</v>
      </c>
    </row>
    <row r="57" s="2" customFormat="1" spans="1:11">
      <c r="A57" s="3" t="s">
        <v>89</v>
      </c>
      <c r="B57" s="8">
        <f>SUBTOTAL(103,$A$1:A57)-1</f>
        <v>56</v>
      </c>
      <c r="C57" s="3" t="s">
        <v>149</v>
      </c>
      <c r="D57" s="9"/>
      <c r="E57" s="3" t="s">
        <v>890</v>
      </c>
      <c r="F57" s="9"/>
      <c r="G57" s="3" t="s">
        <v>21</v>
      </c>
      <c r="H57" s="3"/>
      <c r="I57" s="6" t="s">
        <v>153</v>
      </c>
      <c r="J57" s="6" t="s">
        <v>52</v>
      </c>
      <c r="K57" s="7" t="s">
        <v>151</v>
      </c>
    </row>
    <row r="58" s="2" customFormat="1" spans="1:11">
      <c r="A58" s="3" t="s">
        <v>89</v>
      </c>
      <c r="B58" s="8">
        <f>SUBTOTAL(103,$A$1:A58)-1</f>
        <v>57</v>
      </c>
      <c r="C58" s="3" t="s">
        <v>71</v>
      </c>
      <c r="D58" s="9"/>
      <c r="E58" s="3" t="s">
        <v>890</v>
      </c>
      <c r="F58" s="9"/>
      <c r="G58" s="3" t="s">
        <v>21</v>
      </c>
      <c r="H58" s="3"/>
      <c r="I58" s="6" t="s">
        <v>165</v>
      </c>
      <c r="J58" s="6" t="s">
        <v>52</v>
      </c>
      <c r="K58" s="7" t="s">
        <v>164</v>
      </c>
    </row>
    <row r="59" s="2" customFormat="1" spans="1:11">
      <c r="A59" s="3" t="s">
        <v>89</v>
      </c>
      <c r="B59" s="8">
        <f>SUBTOTAL(103,$A$1:A59)-1</f>
        <v>58</v>
      </c>
      <c r="C59" s="3" t="s">
        <v>50</v>
      </c>
      <c r="D59" s="9"/>
      <c r="E59" s="3" t="s">
        <v>890</v>
      </c>
      <c r="F59" s="9"/>
      <c r="G59" s="3" t="s">
        <v>21</v>
      </c>
      <c r="H59" s="3"/>
      <c r="I59" s="6" t="s">
        <v>147</v>
      </c>
      <c r="J59" s="6" t="s">
        <v>52</v>
      </c>
      <c r="K59" s="7" t="s">
        <v>148</v>
      </c>
    </row>
    <row r="60" s="2" customFormat="1" spans="1:11">
      <c r="A60" s="3" t="s">
        <v>89</v>
      </c>
      <c r="B60" s="8">
        <f>SUBTOTAL(103,$A$1:A60)-1</f>
        <v>59</v>
      </c>
      <c r="C60" s="3" t="s">
        <v>50</v>
      </c>
      <c r="D60" s="9"/>
      <c r="E60" s="3" t="s">
        <v>890</v>
      </c>
      <c r="F60" s="9"/>
      <c r="G60" s="3" t="s">
        <v>21</v>
      </c>
      <c r="H60" s="3"/>
      <c r="I60" s="6" t="s">
        <v>141</v>
      </c>
      <c r="J60" s="6" t="s">
        <v>40</v>
      </c>
      <c r="K60" s="7" t="s">
        <v>142</v>
      </c>
    </row>
    <row r="61" s="2" customFormat="1" spans="1:11">
      <c r="A61" s="3" t="s">
        <v>89</v>
      </c>
      <c r="B61" s="8">
        <f>SUBTOTAL(103,$A$1:A61)-1</f>
        <v>60</v>
      </c>
      <c r="C61" s="3" t="s">
        <v>62</v>
      </c>
      <c r="D61" s="9"/>
      <c r="E61" s="3" t="s">
        <v>890</v>
      </c>
      <c r="F61" s="9"/>
      <c r="G61" s="3" t="s">
        <v>21</v>
      </c>
      <c r="H61" s="3"/>
      <c r="I61" s="6" t="s">
        <v>160</v>
      </c>
      <c r="J61" s="6" t="s">
        <v>40</v>
      </c>
      <c r="K61" s="7" t="s">
        <v>67</v>
      </c>
    </row>
    <row r="62" s="2" customFormat="1" spans="1:11">
      <c r="A62" s="3" t="s">
        <v>89</v>
      </c>
      <c r="B62" s="8">
        <f>SUBTOTAL(103,$A$1:A62)-1</f>
        <v>61</v>
      </c>
      <c r="C62" s="3" t="s">
        <v>62</v>
      </c>
      <c r="D62" s="9"/>
      <c r="E62" s="3" t="s">
        <v>890</v>
      </c>
      <c r="F62" s="9"/>
      <c r="G62" s="3" t="s">
        <v>21</v>
      </c>
      <c r="H62" s="3"/>
      <c r="I62" s="6" t="s">
        <v>159</v>
      </c>
      <c r="J62" s="6" t="s">
        <v>40</v>
      </c>
      <c r="K62" s="7" t="s">
        <v>67</v>
      </c>
    </row>
    <row r="63" s="2" customFormat="1" spans="1:11">
      <c r="A63" s="3" t="s">
        <v>89</v>
      </c>
      <c r="B63" s="8">
        <f>SUBTOTAL(103,$A$1:A63)-1</f>
        <v>62</v>
      </c>
      <c r="C63" s="3" t="s">
        <v>43</v>
      </c>
      <c r="D63" s="9"/>
      <c r="E63" s="3" t="s">
        <v>890</v>
      </c>
      <c r="F63" s="9"/>
      <c r="G63" s="3" t="s">
        <v>21</v>
      </c>
      <c r="H63" s="3"/>
      <c r="I63" s="6" t="s">
        <v>139</v>
      </c>
      <c r="J63" s="6" t="s">
        <v>40</v>
      </c>
      <c r="K63" s="7" t="s">
        <v>140</v>
      </c>
    </row>
    <row r="64" s="2" customFormat="1" spans="1:11">
      <c r="A64" s="3" t="s">
        <v>89</v>
      </c>
      <c r="B64" s="8">
        <f>SUBTOTAL(103,$A$1:A64)-1</f>
        <v>63</v>
      </c>
      <c r="C64" s="3" t="s">
        <v>77</v>
      </c>
      <c r="D64" s="9"/>
      <c r="E64" s="3" t="s">
        <v>890</v>
      </c>
      <c r="F64" s="9"/>
      <c r="G64" s="3" t="s">
        <v>21</v>
      </c>
      <c r="H64" s="3"/>
      <c r="I64" s="6" t="s">
        <v>166</v>
      </c>
      <c r="J64" s="6" t="s">
        <v>84</v>
      </c>
      <c r="K64" s="7" t="s">
        <v>167</v>
      </c>
    </row>
    <row r="65" s="2" customFormat="1" spans="1:11">
      <c r="A65" s="3" t="s">
        <v>89</v>
      </c>
      <c r="B65" s="8">
        <f>SUBTOTAL(103,$A$1:A65)-1</f>
        <v>64</v>
      </c>
      <c r="C65" s="3" t="s">
        <v>38</v>
      </c>
      <c r="D65" s="9"/>
      <c r="E65" s="3" t="s">
        <v>890</v>
      </c>
      <c r="F65" s="9"/>
      <c r="G65" s="3" t="s">
        <v>21</v>
      </c>
      <c r="H65" s="3"/>
      <c r="I65" s="6" t="s">
        <v>122</v>
      </c>
      <c r="J65" s="6" t="s">
        <v>52</v>
      </c>
      <c r="K65" s="7" t="s">
        <v>120</v>
      </c>
    </row>
    <row r="66" s="2" customFormat="1" spans="1:11">
      <c r="A66" s="3" t="s">
        <v>89</v>
      </c>
      <c r="B66" s="8">
        <f>SUBTOTAL(103,$A$1:A66)-1</f>
        <v>65</v>
      </c>
      <c r="C66" s="3" t="s">
        <v>38</v>
      </c>
      <c r="D66" s="9"/>
      <c r="E66" s="3" t="s">
        <v>890</v>
      </c>
      <c r="F66" s="9"/>
      <c r="G66" s="3" t="s">
        <v>21</v>
      </c>
      <c r="H66" s="3"/>
      <c r="I66" s="6" t="s">
        <v>121</v>
      </c>
      <c r="J66" s="6" t="s">
        <v>52</v>
      </c>
      <c r="K66" s="7" t="s">
        <v>120</v>
      </c>
    </row>
    <row r="67" s="2" customFormat="1" spans="1:11">
      <c r="A67" s="3" t="s">
        <v>89</v>
      </c>
      <c r="B67" s="8">
        <f>SUBTOTAL(103,$A$1:A67)-1</f>
        <v>66</v>
      </c>
      <c r="C67" s="3" t="s">
        <v>38</v>
      </c>
      <c r="D67" s="9"/>
      <c r="E67" s="3" t="s">
        <v>890</v>
      </c>
      <c r="F67" s="9"/>
      <c r="G67" s="3" t="s">
        <v>21</v>
      </c>
      <c r="H67" s="3"/>
      <c r="I67" s="6" t="s">
        <v>119</v>
      </c>
      <c r="J67" s="6" t="s">
        <v>52</v>
      </c>
      <c r="K67" s="7" t="s">
        <v>120</v>
      </c>
    </row>
    <row r="68" s="2" customFormat="1" spans="1:11">
      <c r="A68" s="3" t="s">
        <v>89</v>
      </c>
      <c r="B68" s="8">
        <f>SUBTOTAL(103,$A$1:A68)-1</f>
        <v>67</v>
      </c>
      <c r="C68" s="3" t="s">
        <v>149</v>
      </c>
      <c r="D68" s="9"/>
      <c r="E68" s="3" t="s">
        <v>890</v>
      </c>
      <c r="F68" s="9"/>
      <c r="G68" s="3" t="s">
        <v>21</v>
      </c>
      <c r="H68" s="3"/>
      <c r="I68" s="6" t="s">
        <v>152</v>
      </c>
      <c r="J68" s="6" t="s">
        <v>52</v>
      </c>
      <c r="K68" s="7" t="s">
        <v>151</v>
      </c>
    </row>
    <row r="69" s="2" customFormat="1" spans="1:11">
      <c r="A69" s="3" t="s">
        <v>89</v>
      </c>
      <c r="B69" s="8">
        <f>SUBTOTAL(103,$A$1:A69)-1</f>
        <v>68</v>
      </c>
      <c r="C69" s="3" t="s">
        <v>149</v>
      </c>
      <c r="D69" s="9"/>
      <c r="E69" s="3" t="s">
        <v>890</v>
      </c>
      <c r="F69" s="9"/>
      <c r="G69" s="3" t="s">
        <v>21</v>
      </c>
      <c r="H69" s="3"/>
      <c r="I69" s="6" t="s">
        <v>150</v>
      </c>
      <c r="J69" s="6" t="s">
        <v>52</v>
      </c>
      <c r="K69" s="7" t="s">
        <v>151</v>
      </c>
    </row>
    <row r="70" s="2" customFormat="1" spans="1:11">
      <c r="A70" s="3" t="s">
        <v>89</v>
      </c>
      <c r="B70" s="8">
        <f>SUBTOTAL(103,$A$1:A70)-1</f>
        <v>69</v>
      </c>
      <c r="C70" s="3" t="s">
        <v>71</v>
      </c>
      <c r="D70" s="9"/>
      <c r="E70" s="3" t="s">
        <v>890</v>
      </c>
      <c r="F70" s="9"/>
      <c r="G70" s="3" t="s">
        <v>21</v>
      </c>
      <c r="H70" s="3"/>
      <c r="I70" s="6" t="s">
        <v>163</v>
      </c>
      <c r="J70" s="6" t="s">
        <v>52</v>
      </c>
      <c r="K70" s="7" t="s">
        <v>164</v>
      </c>
    </row>
    <row r="71" s="2" customFormat="1" spans="1:11">
      <c r="A71" s="3" t="s">
        <v>235</v>
      </c>
      <c r="B71" s="8">
        <f>SUBTOTAL(103,$A$1:A71)-1</f>
        <v>70</v>
      </c>
      <c r="C71" s="3" t="s">
        <v>17</v>
      </c>
      <c r="D71" s="9" t="s">
        <v>184</v>
      </c>
      <c r="E71" s="3" t="s">
        <v>236</v>
      </c>
      <c r="F71" s="9"/>
      <c r="G71" s="3"/>
      <c r="H71" s="3"/>
      <c r="I71" s="6" t="s">
        <v>244</v>
      </c>
      <c r="J71" s="6" t="s">
        <v>24</v>
      </c>
      <c r="K71" s="7"/>
    </row>
    <row r="72" s="2" customFormat="1" spans="1:11">
      <c r="A72" s="3" t="s">
        <v>235</v>
      </c>
      <c r="B72" s="8">
        <f>SUBTOTAL(103,$A$1:A72)-1</f>
        <v>71</v>
      </c>
      <c r="C72" s="3" t="s">
        <v>17</v>
      </c>
      <c r="D72" s="9" t="s">
        <v>184</v>
      </c>
      <c r="E72" s="3" t="s">
        <v>236</v>
      </c>
      <c r="F72" s="9" t="s">
        <v>157</v>
      </c>
      <c r="G72" s="3"/>
      <c r="H72" s="3"/>
      <c r="I72" s="6" t="s">
        <v>243</v>
      </c>
      <c r="J72" s="6" t="s">
        <v>24</v>
      </c>
      <c r="K72" s="7"/>
    </row>
    <row r="73" s="2" customFormat="1" spans="1:11">
      <c r="A73" s="3" t="s">
        <v>235</v>
      </c>
      <c r="B73" s="8">
        <f>SUBTOTAL(103,$A$1:A73)-1</f>
        <v>72</v>
      </c>
      <c r="C73" s="3" t="s">
        <v>17</v>
      </c>
      <c r="D73" s="9" t="s">
        <v>184</v>
      </c>
      <c r="E73" s="3" t="s">
        <v>236</v>
      </c>
      <c r="F73" s="9" t="s">
        <v>157</v>
      </c>
      <c r="G73" s="3"/>
      <c r="H73" s="3"/>
      <c r="I73" s="6" t="s">
        <v>242</v>
      </c>
      <c r="J73" s="6" t="s">
        <v>24</v>
      </c>
      <c r="K73" s="7"/>
    </row>
    <row r="74" s="2" customFormat="1" spans="1:11">
      <c r="A74" s="3" t="s">
        <v>235</v>
      </c>
      <c r="B74" s="8">
        <f>SUBTOTAL(103,$A$1:A74)-1</f>
        <v>73</v>
      </c>
      <c r="C74" s="3" t="s">
        <v>17</v>
      </c>
      <c r="D74" s="9" t="s">
        <v>195</v>
      </c>
      <c r="E74" s="3" t="s">
        <v>236</v>
      </c>
      <c r="F74" s="9" t="s">
        <v>157</v>
      </c>
      <c r="G74" s="3"/>
      <c r="H74" s="3"/>
      <c r="I74" s="6" t="s">
        <v>246</v>
      </c>
      <c r="J74" s="6" t="s">
        <v>24</v>
      </c>
      <c r="K74" s="7" t="s">
        <v>246</v>
      </c>
    </row>
    <row r="75" s="2" customFormat="1" spans="1:11">
      <c r="A75" s="3" t="s">
        <v>235</v>
      </c>
      <c r="B75" s="8">
        <f>SUBTOTAL(103,$A$1:A75)-1</f>
        <v>74</v>
      </c>
      <c r="C75" s="3" t="s">
        <v>17</v>
      </c>
      <c r="D75" s="9" t="s">
        <v>195</v>
      </c>
      <c r="E75" s="3" t="s">
        <v>236</v>
      </c>
      <c r="F75" s="9" t="s">
        <v>157</v>
      </c>
      <c r="G75" s="3"/>
      <c r="H75" s="3"/>
      <c r="I75" s="6" t="s">
        <v>245</v>
      </c>
      <c r="J75" s="6" t="s">
        <v>24</v>
      </c>
      <c r="K75" s="7" t="s">
        <v>246</v>
      </c>
    </row>
    <row r="76" s="2" customFormat="1" spans="1:11">
      <c r="A76" s="3" t="s">
        <v>235</v>
      </c>
      <c r="B76" s="8">
        <f>SUBTOTAL(103,$A$1:A76)-1</f>
        <v>75</v>
      </c>
      <c r="C76" s="3" t="s">
        <v>38</v>
      </c>
      <c r="D76" s="9" t="s">
        <v>184</v>
      </c>
      <c r="E76" s="3" t="s">
        <v>236</v>
      </c>
      <c r="F76" s="9"/>
      <c r="G76" s="3"/>
      <c r="H76" s="3"/>
      <c r="I76" s="6" t="s">
        <v>249</v>
      </c>
      <c r="J76" s="6" t="s">
        <v>40</v>
      </c>
      <c r="K76" s="7" t="s">
        <v>249</v>
      </c>
    </row>
    <row r="77" s="2" customFormat="1" spans="1:11">
      <c r="A77" s="3" t="s">
        <v>235</v>
      </c>
      <c r="B77" s="8">
        <f>SUBTOTAL(103,$A$1:A77)-1</f>
        <v>76</v>
      </c>
      <c r="C77" s="3" t="s">
        <v>38</v>
      </c>
      <c r="D77" s="9" t="s">
        <v>195</v>
      </c>
      <c r="E77" s="3" t="s">
        <v>236</v>
      </c>
      <c r="F77" s="9" t="s">
        <v>157</v>
      </c>
      <c r="G77" s="3"/>
      <c r="H77" s="3"/>
      <c r="I77" s="6" t="s">
        <v>250</v>
      </c>
      <c r="J77" s="6" t="s">
        <v>40</v>
      </c>
      <c r="K77" s="7" t="s">
        <v>246</v>
      </c>
    </row>
    <row r="78" s="2" customFormat="1" spans="1:11">
      <c r="A78" s="3" t="s">
        <v>235</v>
      </c>
      <c r="B78" s="8">
        <f>SUBTOTAL(103,$A$1:A78)-1</f>
        <v>77</v>
      </c>
      <c r="C78" s="3" t="s">
        <v>43</v>
      </c>
      <c r="D78" s="9" t="s">
        <v>230</v>
      </c>
      <c r="E78" s="3" t="s">
        <v>236</v>
      </c>
      <c r="F78" s="9"/>
      <c r="G78" s="3"/>
      <c r="H78" s="3"/>
      <c r="I78" s="6" t="s">
        <v>275</v>
      </c>
      <c r="J78" s="6" t="s">
        <v>52</v>
      </c>
      <c r="K78" s="7"/>
    </row>
    <row r="79" s="2" customFormat="1" spans="1:11">
      <c r="A79" s="3" t="s">
        <v>235</v>
      </c>
      <c r="B79" s="8">
        <f>SUBTOTAL(103,$A$1:A79)-1</f>
        <v>78</v>
      </c>
      <c r="C79" s="3" t="s">
        <v>149</v>
      </c>
      <c r="D79" s="9" t="s">
        <v>195</v>
      </c>
      <c r="E79" s="3" t="s">
        <v>236</v>
      </c>
      <c r="F79" s="9" t="s">
        <v>157</v>
      </c>
      <c r="G79" s="3"/>
      <c r="H79" s="3"/>
      <c r="I79" s="6" t="s">
        <v>260</v>
      </c>
      <c r="J79" s="6" t="s">
        <v>52</v>
      </c>
      <c r="K79" s="7" t="s">
        <v>294</v>
      </c>
    </row>
    <row r="80" s="2" customFormat="1" spans="1:11">
      <c r="A80" s="3" t="s">
        <v>235</v>
      </c>
      <c r="B80" s="8">
        <f>SUBTOTAL(103,$A$1:A80)-1</f>
        <v>79</v>
      </c>
      <c r="C80" s="3" t="s">
        <v>149</v>
      </c>
      <c r="D80" s="9" t="s">
        <v>184</v>
      </c>
      <c r="E80" s="3" t="s">
        <v>236</v>
      </c>
      <c r="F80" s="9" t="s">
        <v>157</v>
      </c>
      <c r="G80" s="3"/>
      <c r="H80" s="3"/>
      <c r="I80" s="6" t="s">
        <v>262</v>
      </c>
      <c r="J80" s="6" t="s">
        <v>75</v>
      </c>
      <c r="K80" s="7"/>
    </row>
    <row r="81" s="2" customFormat="1" spans="1:11">
      <c r="A81" s="3" t="s">
        <v>235</v>
      </c>
      <c r="B81" s="8">
        <f>SUBTOTAL(103,$A$1:A81)-1</f>
        <v>80</v>
      </c>
      <c r="C81" s="3" t="s">
        <v>149</v>
      </c>
      <c r="D81" s="9" t="s">
        <v>195</v>
      </c>
      <c r="E81" s="3" t="s">
        <v>236</v>
      </c>
      <c r="F81" s="9"/>
      <c r="G81" s="3"/>
      <c r="H81" s="3"/>
      <c r="I81" s="6" t="s">
        <v>261</v>
      </c>
      <c r="J81" s="6" t="s">
        <v>52</v>
      </c>
      <c r="K81" s="7" t="s">
        <v>261</v>
      </c>
    </row>
    <row r="82" s="2" customFormat="1" spans="1:11">
      <c r="A82" s="3" t="s">
        <v>235</v>
      </c>
      <c r="B82" s="8">
        <f>SUBTOTAL(103,$A$1:A82)-1</f>
        <v>81</v>
      </c>
      <c r="C82" s="3" t="s">
        <v>149</v>
      </c>
      <c r="D82" s="9" t="s">
        <v>195</v>
      </c>
      <c r="E82" s="3" t="s">
        <v>236</v>
      </c>
      <c r="F82" s="9"/>
      <c r="G82" s="3"/>
      <c r="H82" s="3"/>
      <c r="I82" s="6" t="s">
        <v>259</v>
      </c>
      <c r="J82" s="6" t="s">
        <v>52</v>
      </c>
      <c r="K82" s="7" t="s">
        <v>260</v>
      </c>
    </row>
    <row r="83" s="2" customFormat="1" spans="1:11">
      <c r="A83" s="3" t="s">
        <v>235</v>
      </c>
      <c r="B83" s="8">
        <f>SUBTOTAL(103,$A$1:A83)-1</f>
        <v>82</v>
      </c>
      <c r="C83" s="3" t="s">
        <v>149</v>
      </c>
      <c r="D83" s="9" t="s">
        <v>195</v>
      </c>
      <c r="E83" s="3" t="s">
        <v>236</v>
      </c>
      <c r="F83" s="9" t="s">
        <v>157</v>
      </c>
      <c r="G83" s="3"/>
      <c r="H83" s="3"/>
      <c r="I83" s="6" t="s">
        <v>265</v>
      </c>
      <c r="J83" s="6" t="s">
        <v>52</v>
      </c>
      <c r="K83" s="7" t="s">
        <v>265</v>
      </c>
    </row>
    <row r="84" s="2" customFormat="1" spans="1:11">
      <c r="A84" s="3" t="s">
        <v>235</v>
      </c>
      <c r="B84" s="8">
        <f>SUBTOTAL(103,$A$1:A84)-1</f>
        <v>83</v>
      </c>
      <c r="C84" s="3" t="s">
        <v>149</v>
      </c>
      <c r="D84" s="9" t="s">
        <v>195</v>
      </c>
      <c r="E84" s="3" t="s">
        <v>236</v>
      </c>
      <c r="F84" s="9" t="s">
        <v>157</v>
      </c>
      <c r="G84" s="3"/>
      <c r="H84" s="3"/>
      <c r="I84" s="6" t="s">
        <v>266</v>
      </c>
      <c r="J84" s="6" t="s">
        <v>52</v>
      </c>
      <c r="K84" s="7" t="s">
        <v>266</v>
      </c>
    </row>
    <row r="85" s="2" customFormat="1" spans="1:11">
      <c r="A85" s="3" t="s">
        <v>235</v>
      </c>
      <c r="B85" s="8">
        <f>SUBTOTAL(103,$A$1:A85)-1</f>
        <v>84</v>
      </c>
      <c r="C85" s="3" t="s">
        <v>149</v>
      </c>
      <c r="D85" s="9" t="s">
        <v>184</v>
      </c>
      <c r="E85" s="3" t="s">
        <v>236</v>
      </c>
      <c r="F85" s="9"/>
      <c r="G85" s="3"/>
      <c r="H85" s="3"/>
      <c r="I85" s="6" t="s">
        <v>258</v>
      </c>
      <c r="J85" s="6" t="s">
        <v>52</v>
      </c>
      <c r="K85" s="7" t="s">
        <v>258</v>
      </c>
    </row>
    <row r="86" s="2" customFormat="1" spans="1:11">
      <c r="A86" s="3" t="s">
        <v>235</v>
      </c>
      <c r="B86" s="8">
        <f>SUBTOTAL(103,$A$1:A86)-1</f>
        <v>85</v>
      </c>
      <c r="C86" s="3" t="s">
        <v>149</v>
      </c>
      <c r="D86" s="9" t="s">
        <v>230</v>
      </c>
      <c r="E86" s="3" t="s">
        <v>236</v>
      </c>
      <c r="F86" s="9" t="s">
        <v>157</v>
      </c>
      <c r="G86" s="3"/>
      <c r="H86" s="3"/>
      <c r="I86" s="6" t="s">
        <v>264</v>
      </c>
      <c r="J86" s="6" t="s">
        <v>52</v>
      </c>
      <c r="K86" s="7" t="s">
        <v>260</v>
      </c>
    </row>
    <row r="87" s="2" customFormat="1" spans="1:11">
      <c r="A87" s="3" t="s">
        <v>235</v>
      </c>
      <c r="B87" s="8">
        <f>SUBTOTAL(103,$A$1:A87)-1</f>
        <v>86</v>
      </c>
      <c r="C87" s="3" t="s">
        <v>149</v>
      </c>
      <c r="D87" s="9" t="s">
        <v>230</v>
      </c>
      <c r="E87" s="3" t="s">
        <v>236</v>
      </c>
      <c r="F87" s="9" t="s">
        <v>157</v>
      </c>
      <c r="G87" s="3"/>
      <c r="H87" s="3"/>
      <c r="I87" s="6" t="s">
        <v>263</v>
      </c>
      <c r="J87" s="6" t="s">
        <v>52</v>
      </c>
      <c r="K87" s="7" t="s">
        <v>258</v>
      </c>
    </row>
    <row r="88" s="2" customFormat="1" spans="1:11">
      <c r="A88" s="3" t="s">
        <v>235</v>
      </c>
      <c r="B88" s="8">
        <f>SUBTOTAL(103,$A$1:A88)-1</f>
        <v>87</v>
      </c>
      <c r="C88" s="3" t="s">
        <v>71</v>
      </c>
      <c r="D88" s="9" t="s">
        <v>184</v>
      </c>
      <c r="E88" s="3" t="s">
        <v>236</v>
      </c>
      <c r="F88" s="9"/>
      <c r="G88" s="3"/>
      <c r="H88" s="3"/>
      <c r="I88" s="6" t="s">
        <v>273</v>
      </c>
      <c r="J88" s="6" t="s">
        <v>52</v>
      </c>
      <c r="K88" s="7" t="s">
        <v>261</v>
      </c>
    </row>
    <row r="89" s="2" customFormat="1" spans="1:11">
      <c r="A89" s="3" t="s">
        <v>235</v>
      </c>
      <c r="B89" s="8">
        <f>SUBTOTAL(103,$A$1:A89)-1</f>
        <v>88</v>
      </c>
      <c r="C89" s="3" t="s">
        <v>71</v>
      </c>
      <c r="D89" s="9" t="s">
        <v>195</v>
      </c>
      <c r="E89" s="3" t="s">
        <v>236</v>
      </c>
      <c r="F89" s="9"/>
      <c r="G89" s="3"/>
      <c r="H89" s="3"/>
      <c r="I89" s="6" t="s">
        <v>271</v>
      </c>
      <c r="J89" s="6" t="s">
        <v>52</v>
      </c>
      <c r="K89" s="7" t="s">
        <v>272</v>
      </c>
    </row>
    <row r="90" s="2" customFormat="1" spans="1:11">
      <c r="A90" s="3" t="s">
        <v>235</v>
      </c>
      <c r="B90" s="8">
        <f>SUBTOTAL(103,$A$1:A90)-1</f>
        <v>89</v>
      </c>
      <c r="C90" s="3" t="s">
        <v>71</v>
      </c>
      <c r="D90" s="9" t="s">
        <v>195</v>
      </c>
      <c r="E90" s="3" t="s">
        <v>236</v>
      </c>
      <c r="F90" s="9"/>
      <c r="G90" s="3"/>
      <c r="H90" s="3"/>
      <c r="I90" s="6" t="s">
        <v>270</v>
      </c>
      <c r="J90" s="6" t="s">
        <v>52</v>
      </c>
      <c r="K90" s="7" t="s">
        <v>265</v>
      </c>
    </row>
    <row r="91" s="2" customFormat="1" spans="1:11">
      <c r="A91" s="3" t="s">
        <v>235</v>
      </c>
      <c r="B91" s="8">
        <f>SUBTOTAL(103,$A$1:A91)-1</f>
        <v>90</v>
      </c>
      <c r="C91" s="3" t="s">
        <v>71</v>
      </c>
      <c r="D91" s="9" t="s">
        <v>230</v>
      </c>
      <c r="E91" s="3" t="s">
        <v>236</v>
      </c>
      <c r="F91" s="9" t="s">
        <v>157</v>
      </c>
      <c r="G91" s="3"/>
      <c r="H91" s="3"/>
      <c r="I91" s="6" t="s">
        <v>274</v>
      </c>
      <c r="J91" s="6" t="s">
        <v>40</v>
      </c>
      <c r="K91" s="7"/>
    </row>
    <row r="92" s="2" customFormat="1" spans="1:11">
      <c r="A92" s="3" t="s">
        <v>235</v>
      </c>
      <c r="B92" s="8">
        <f>SUBTOTAL(103,$A$1:A92)-1</f>
        <v>91</v>
      </c>
      <c r="C92" s="3" t="s">
        <v>71</v>
      </c>
      <c r="D92" s="9" t="s">
        <v>230</v>
      </c>
      <c r="E92" s="3" t="s">
        <v>236</v>
      </c>
      <c r="F92" s="9" t="s">
        <v>157</v>
      </c>
      <c r="G92" s="3"/>
      <c r="H92" s="3"/>
      <c r="I92" s="6" t="s">
        <v>304</v>
      </c>
      <c r="J92" s="6" t="s">
        <v>40</v>
      </c>
      <c r="K92" s="7" t="s">
        <v>249</v>
      </c>
    </row>
    <row r="93" s="2" customFormat="1" spans="1:11">
      <c r="A93" s="3" t="s">
        <v>235</v>
      </c>
      <c r="B93" s="8">
        <f>SUBTOTAL(103,$A$1:A93)-1</f>
        <v>92</v>
      </c>
      <c r="C93" s="3" t="s">
        <v>77</v>
      </c>
      <c r="D93" s="9" t="s">
        <v>184</v>
      </c>
      <c r="E93" s="3" t="s">
        <v>236</v>
      </c>
      <c r="F93" s="9" t="s">
        <v>157</v>
      </c>
      <c r="G93" s="3"/>
      <c r="H93" s="3"/>
      <c r="I93" s="6" t="s">
        <v>312</v>
      </c>
      <c r="J93" s="6" t="s">
        <v>84</v>
      </c>
      <c r="K93" s="7"/>
    </row>
    <row r="94" s="2" customFormat="1" spans="1:11">
      <c r="A94" s="3" t="s">
        <v>235</v>
      </c>
      <c r="B94" s="8">
        <f>SUBTOTAL(103,$A$1:A94)-1</f>
        <v>93</v>
      </c>
      <c r="C94" s="3" t="s">
        <v>77</v>
      </c>
      <c r="D94" s="9" t="s">
        <v>184</v>
      </c>
      <c r="E94" s="3" t="s">
        <v>236</v>
      </c>
      <c r="F94" s="9" t="s">
        <v>157</v>
      </c>
      <c r="G94" s="3"/>
      <c r="H94" s="3"/>
      <c r="I94" s="6" t="s">
        <v>311</v>
      </c>
      <c r="J94" s="6" t="s">
        <v>75</v>
      </c>
      <c r="K94" s="7" t="s">
        <v>311</v>
      </c>
    </row>
    <row r="95" s="2" customFormat="1" spans="1:11">
      <c r="A95" s="3" t="s">
        <v>235</v>
      </c>
      <c r="B95" s="8">
        <f>SUBTOTAL(103,$A$1:A95)-1</f>
        <v>94</v>
      </c>
      <c r="C95" s="3" t="s">
        <v>77</v>
      </c>
      <c r="D95" s="9" t="s">
        <v>184</v>
      </c>
      <c r="E95" s="3" t="s">
        <v>236</v>
      </c>
      <c r="F95" s="9" t="s">
        <v>157</v>
      </c>
      <c r="G95" s="3"/>
      <c r="H95" s="3"/>
      <c r="I95" s="6" t="s">
        <v>308</v>
      </c>
      <c r="J95" s="6" t="s">
        <v>84</v>
      </c>
      <c r="K95" s="7" t="s">
        <v>308</v>
      </c>
    </row>
    <row r="96" s="2" customFormat="1" spans="1:11">
      <c r="A96" s="3" t="s">
        <v>235</v>
      </c>
      <c r="B96" s="8">
        <f>SUBTOTAL(103,$A$1:A96)-1</f>
        <v>95</v>
      </c>
      <c r="C96" s="3" t="s">
        <v>77</v>
      </c>
      <c r="D96" s="9" t="s">
        <v>184</v>
      </c>
      <c r="E96" s="3" t="s">
        <v>236</v>
      </c>
      <c r="F96" s="9" t="s">
        <v>157</v>
      </c>
      <c r="G96" s="3"/>
      <c r="H96" s="3"/>
      <c r="I96" s="6" t="s">
        <v>310</v>
      </c>
      <c r="J96" s="6" t="s">
        <v>84</v>
      </c>
      <c r="K96" s="7"/>
    </row>
    <row r="97" s="2" customFormat="1" spans="1:11">
      <c r="A97" s="3" t="s">
        <v>277</v>
      </c>
      <c r="B97" s="8">
        <f>SUBTOTAL(103,$A$1:A97)-1</f>
        <v>96</v>
      </c>
      <c r="C97" s="3" t="s">
        <v>17</v>
      </c>
      <c r="D97" s="9" t="s">
        <v>184</v>
      </c>
      <c r="E97" s="3" t="s">
        <v>278</v>
      </c>
      <c r="F97" s="9"/>
      <c r="G97" s="3"/>
      <c r="H97" s="3"/>
      <c r="I97" s="6" t="s">
        <v>280</v>
      </c>
      <c r="J97" s="6" t="s">
        <v>24</v>
      </c>
      <c r="K97" s="7"/>
    </row>
    <row r="98" s="2" customFormat="1" spans="1:11">
      <c r="A98" s="3" t="s">
        <v>277</v>
      </c>
      <c r="B98" s="8">
        <f>SUBTOTAL(103,$A$1:A98)-1</f>
        <v>97</v>
      </c>
      <c r="C98" s="3" t="s">
        <v>17</v>
      </c>
      <c r="D98" s="9" t="s">
        <v>184</v>
      </c>
      <c r="E98" s="3" t="s">
        <v>278</v>
      </c>
      <c r="F98" s="9"/>
      <c r="G98" s="3"/>
      <c r="H98" s="3"/>
      <c r="I98" s="6" t="s">
        <v>284</v>
      </c>
      <c r="J98" s="6" t="s">
        <v>24</v>
      </c>
      <c r="K98" s="7" t="s">
        <v>256</v>
      </c>
    </row>
    <row r="99" s="2" customFormat="1" spans="1:11">
      <c r="A99" s="3" t="s">
        <v>277</v>
      </c>
      <c r="B99" s="8">
        <f>SUBTOTAL(103,$A$1:A99)-1</f>
        <v>98</v>
      </c>
      <c r="C99" s="3" t="s">
        <v>17</v>
      </c>
      <c r="D99" s="9" t="s">
        <v>184</v>
      </c>
      <c r="E99" s="3" t="s">
        <v>278</v>
      </c>
      <c r="F99" s="9"/>
      <c r="G99" s="3"/>
      <c r="H99" s="3"/>
      <c r="I99" s="6" t="s">
        <v>313</v>
      </c>
      <c r="J99" s="6" t="s">
        <v>24</v>
      </c>
      <c r="K99" s="7"/>
    </row>
    <row r="100" s="2" customFormat="1" spans="1:11">
      <c r="A100" s="3" t="s">
        <v>277</v>
      </c>
      <c r="B100" s="8">
        <f>SUBTOTAL(103,$A$1:A100)-1</f>
        <v>99</v>
      </c>
      <c r="C100" s="3" t="s">
        <v>17</v>
      </c>
      <c r="D100" s="9" t="s">
        <v>184</v>
      </c>
      <c r="E100" s="3" t="s">
        <v>278</v>
      </c>
      <c r="F100" s="9"/>
      <c r="G100" s="3"/>
      <c r="H100" s="3"/>
      <c r="I100" s="6" t="s">
        <v>283</v>
      </c>
      <c r="J100" s="6" t="s">
        <v>24</v>
      </c>
      <c r="K100" s="7"/>
    </row>
    <row r="101" s="2" customFormat="1" spans="1:11">
      <c r="A101" s="3" t="s">
        <v>277</v>
      </c>
      <c r="B101" s="8">
        <f>SUBTOTAL(103,$A$1:A101)-1</f>
        <v>100</v>
      </c>
      <c r="C101" s="3" t="s">
        <v>17</v>
      </c>
      <c r="D101" s="9" t="s">
        <v>184</v>
      </c>
      <c r="E101" s="3" t="s">
        <v>278</v>
      </c>
      <c r="F101" s="9"/>
      <c r="G101" s="3"/>
      <c r="H101" s="3"/>
      <c r="I101" s="6" t="s">
        <v>285</v>
      </c>
      <c r="J101" s="6" t="s">
        <v>24</v>
      </c>
      <c r="K101" s="7"/>
    </row>
    <row r="102" s="2" customFormat="1" spans="1:11">
      <c r="A102" s="3" t="s">
        <v>277</v>
      </c>
      <c r="B102" s="8">
        <f>SUBTOTAL(103,$A$1:A102)-1</f>
        <v>101</v>
      </c>
      <c r="C102" s="3" t="s">
        <v>17</v>
      </c>
      <c r="D102" s="9" t="s">
        <v>195</v>
      </c>
      <c r="E102" s="3" t="s">
        <v>278</v>
      </c>
      <c r="F102" s="9"/>
      <c r="G102" s="3"/>
      <c r="H102" s="3"/>
      <c r="I102" s="6" t="s">
        <v>281</v>
      </c>
      <c r="J102" s="6" t="s">
        <v>24</v>
      </c>
      <c r="K102" s="7"/>
    </row>
    <row r="103" s="2" customFormat="1" spans="1:11">
      <c r="A103" s="3" t="s">
        <v>277</v>
      </c>
      <c r="B103" s="8">
        <f>SUBTOTAL(103,$A$1:A103)-1</f>
        <v>102</v>
      </c>
      <c r="C103" s="3" t="s">
        <v>38</v>
      </c>
      <c r="D103" s="9" t="s">
        <v>195</v>
      </c>
      <c r="E103" s="3" t="s">
        <v>278</v>
      </c>
      <c r="F103" s="9"/>
      <c r="G103" s="3"/>
      <c r="H103" s="3"/>
      <c r="I103" s="6" t="s">
        <v>289</v>
      </c>
      <c r="J103" s="6" t="s">
        <v>75</v>
      </c>
      <c r="K103" s="7"/>
    </row>
    <row r="104" s="2" customFormat="1" spans="1:11">
      <c r="A104" s="3" t="s">
        <v>277</v>
      </c>
      <c r="B104" s="8">
        <f>SUBTOTAL(103,$A$1:A104)-1</f>
        <v>103</v>
      </c>
      <c r="C104" s="3" t="s">
        <v>38</v>
      </c>
      <c r="D104" s="9" t="s">
        <v>195</v>
      </c>
      <c r="E104" s="3" t="s">
        <v>278</v>
      </c>
      <c r="F104" s="9"/>
      <c r="G104" s="3"/>
      <c r="H104" s="3"/>
      <c r="I104" s="6" t="s">
        <v>290</v>
      </c>
      <c r="J104" s="6" t="s">
        <v>40</v>
      </c>
      <c r="K104" s="7"/>
    </row>
    <row r="105" s="2" customFormat="1" spans="1:11">
      <c r="A105" s="3" t="s">
        <v>277</v>
      </c>
      <c r="B105" s="8">
        <f>SUBTOTAL(103,$A$1:A105)-1</f>
        <v>104</v>
      </c>
      <c r="C105" s="3" t="s">
        <v>38</v>
      </c>
      <c r="D105" s="9" t="s">
        <v>195</v>
      </c>
      <c r="E105" s="3" t="s">
        <v>278</v>
      </c>
      <c r="F105" s="9"/>
      <c r="G105" s="3"/>
      <c r="H105" s="3"/>
      <c r="I105" s="6" t="s">
        <v>286</v>
      </c>
      <c r="J105" s="6" t="s">
        <v>40</v>
      </c>
      <c r="K105" s="7"/>
    </row>
    <row r="106" s="2" customFormat="1" spans="1:11">
      <c r="A106" s="3" t="s">
        <v>277</v>
      </c>
      <c r="B106" s="8">
        <f>SUBTOTAL(103,$A$1:A106)-1</f>
        <v>105</v>
      </c>
      <c r="C106" s="3" t="s">
        <v>149</v>
      </c>
      <c r="D106" s="9" t="s">
        <v>184</v>
      </c>
      <c r="E106" s="3" t="s">
        <v>278</v>
      </c>
      <c r="F106" s="9"/>
      <c r="G106" s="3"/>
      <c r="H106" s="3"/>
      <c r="I106" s="6" t="s">
        <v>291</v>
      </c>
      <c r="J106" s="6" t="s">
        <v>52</v>
      </c>
      <c r="K106" s="7" t="s">
        <v>292</v>
      </c>
    </row>
    <row r="107" s="2" customFormat="1" spans="1:11">
      <c r="A107" s="3" t="s">
        <v>277</v>
      </c>
      <c r="B107" s="8">
        <f>SUBTOTAL(103,$A$1:A107)-1</f>
        <v>106</v>
      </c>
      <c r="C107" s="3" t="s">
        <v>149</v>
      </c>
      <c r="D107" s="9" t="s">
        <v>195</v>
      </c>
      <c r="E107" s="3" t="s">
        <v>278</v>
      </c>
      <c r="F107" s="9"/>
      <c r="G107" s="3"/>
      <c r="H107" s="3"/>
      <c r="I107" s="6" t="s">
        <v>293</v>
      </c>
      <c r="J107" s="6" t="s">
        <v>52</v>
      </c>
      <c r="K107" s="7" t="s">
        <v>294</v>
      </c>
    </row>
    <row r="108" s="2" customFormat="1" spans="1:11">
      <c r="A108" s="3" t="s">
        <v>277</v>
      </c>
      <c r="B108" s="8">
        <f>SUBTOTAL(103,$A$1:A108)-1</f>
        <v>107</v>
      </c>
      <c r="C108" s="3" t="s">
        <v>149</v>
      </c>
      <c r="D108" s="9" t="s">
        <v>195</v>
      </c>
      <c r="E108" s="3" t="s">
        <v>278</v>
      </c>
      <c r="F108" s="9"/>
      <c r="G108" s="3"/>
      <c r="H108" s="3"/>
      <c r="I108" s="6" t="s">
        <v>295</v>
      </c>
      <c r="J108" s="6" t="s">
        <v>52</v>
      </c>
      <c r="K108" s="7" t="s">
        <v>296</v>
      </c>
    </row>
    <row r="109" s="2" customFormat="1" spans="1:11">
      <c r="A109" s="3" t="s">
        <v>277</v>
      </c>
      <c r="B109" s="8">
        <f>SUBTOTAL(103,$A$1:A109)-1</f>
        <v>108</v>
      </c>
      <c r="C109" s="3" t="s">
        <v>62</v>
      </c>
      <c r="D109" s="9" t="s">
        <v>230</v>
      </c>
      <c r="E109" s="3" t="s">
        <v>278</v>
      </c>
      <c r="F109" s="9"/>
      <c r="G109" s="3"/>
      <c r="H109" s="3"/>
      <c r="I109" s="6" t="s">
        <v>298</v>
      </c>
      <c r="J109" s="6" t="s">
        <v>52</v>
      </c>
      <c r="K109" s="7" t="s">
        <v>200</v>
      </c>
    </row>
    <row r="110" s="2" customFormat="1" spans="1:11">
      <c r="A110" s="3" t="s">
        <v>277</v>
      </c>
      <c r="B110" s="8">
        <f>SUBTOTAL(103,$A$1:A110)-1</f>
        <v>109</v>
      </c>
      <c r="C110" s="3" t="s">
        <v>62</v>
      </c>
      <c r="D110" s="9" t="s">
        <v>230</v>
      </c>
      <c r="E110" s="3" t="s">
        <v>278</v>
      </c>
      <c r="F110" s="9"/>
      <c r="G110" s="3"/>
      <c r="H110" s="3"/>
      <c r="I110" s="6" t="s">
        <v>297</v>
      </c>
      <c r="J110" s="6" t="s">
        <v>52</v>
      </c>
      <c r="K110" s="7" t="s">
        <v>200</v>
      </c>
    </row>
    <row r="111" s="2" customFormat="1" spans="1:11">
      <c r="A111" s="3" t="s">
        <v>277</v>
      </c>
      <c r="B111" s="8">
        <f>SUBTOTAL(103,$A$1:A111)-1</f>
        <v>110</v>
      </c>
      <c r="C111" s="3" t="s">
        <v>71</v>
      </c>
      <c r="D111" s="9" t="s">
        <v>195</v>
      </c>
      <c r="E111" s="3" t="s">
        <v>278</v>
      </c>
      <c r="F111" s="9"/>
      <c r="G111" s="3"/>
      <c r="H111" s="3"/>
      <c r="I111" s="6" t="s">
        <v>302</v>
      </c>
      <c r="J111" s="6" t="s">
        <v>52</v>
      </c>
      <c r="K111" s="7" t="s">
        <v>296</v>
      </c>
    </row>
    <row r="112" s="2" customFormat="1" spans="1:11">
      <c r="A112" s="3" t="s">
        <v>277</v>
      </c>
      <c r="B112" s="8">
        <f>SUBTOTAL(103,$A$1:A112)-1</f>
        <v>111</v>
      </c>
      <c r="C112" s="3" t="s">
        <v>71</v>
      </c>
      <c r="D112" s="9" t="s">
        <v>230</v>
      </c>
      <c r="E112" s="3" t="s">
        <v>278</v>
      </c>
      <c r="F112" s="9"/>
      <c r="G112" s="3"/>
      <c r="H112" s="3"/>
      <c r="I112" s="6" t="s">
        <v>301</v>
      </c>
      <c r="J112" s="6" t="s">
        <v>52</v>
      </c>
      <c r="K112" s="7" t="s">
        <v>296</v>
      </c>
    </row>
    <row r="113" s="2" customFormat="1" spans="1:11">
      <c r="A113" s="3" t="s">
        <v>277</v>
      </c>
      <c r="B113" s="8">
        <f>SUBTOTAL(103,$A$1:A113)-1</f>
        <v>112</v>
      </c>
      <c r="C113" s="3" t="s">
        <v>71</v>
      </c>
      <c r="D113" s="9" t="s">
        <v>195</v>
      </c>
      <c r="E113" s="3" t="s">
        <v>278</v>
      </c>
      <c r="F113" s="9"/>
      <c r="G113" s="3"/>
      <c r="H113" s="3"/>
      <c r="I113" s="6" t="s">
        <v>300</v>
      </c>
      <c r="J113" s="6" t="s">
        <v>52</v>
      </c>
      <c r="K113" s="7" t="s">
        <v>296</v>
      </c>
    </row>
    <row r="114" s="2" customFormat="1" spans="1:11">
      <c r="A114" s="3" t="s">
        <v>277</v>
      </c>
      <c r="B114" s="8">
        <f>SUBTOTAL(103,$A$1:A114)-1</f>
        <v>113</v>
      </c>
      <c r="C114" s="3" t="s">
        <v>71</v>
      </c>
      <c r="D114" s="9" t="s">
        <v>195</v>
      </c>
      <c r="E114" s="3" t="s">
        <v>278</v>
      </c>
      <c r="F114" s="9"/>
      <c r="G114" s="3"/>
      <c r="H114" s="3"/>
      <c r="I114" s="6" t="s">
        <v>303</v>
      </c>
      <c r="J114" s="6" t="s">
        <v>52</v>
      </c>
      <c r="K114" s="7" t="s">
        <v>294</v>
      </c>
    </row>
    <row r="115" s="2" customFormat="1" spans="1:11">
      <c r="A115" s="3" t="s">
        <v>277</v>
      </c>
      <c r="B115" s="8">
        <f>SUBTOTAL(103,$A$1:A115)-1</f>
        <v>114</v>
      </c>
      <c r="C115" s="3" t="s">
        <v>71</v>
      </c>
      <c r="D115" s="9" t="s">
        <v>195</v>
      </c>
      <c r="E115" s="3" t="s">
        <v>278</v>
      </c>
      <c r="F115" s="9"/>
      <c r="G115" s="3"/>
      <c r="H115" s="3"/>
      <c r="I115" s="6" t="s">
        <v>299</v>
      </c>
      <c r="J115" s="6" t="s">
        <v>52</v>
      </c>
      <c r="K115" s="7" t="s">
        <v>292</v>
      </c>
    </row>
    <row r="116" s="2" customFormat="1" spans="1:11">
      <c r="A116" s="3" t="s">
        <v>277</v>
      </c>
      <c r="B116" s="8">
        <f>SUBTOTAL(103,$A$1:A116)-1</f>
        <v>115</v>
      </c>
      <c r="C116" s="3" t="s">
        <v>77</v>
      </c>
      <c r="D116" s="9" t="s">
        <v>195</v>
      </c>
      <c r="E116" s="3" t="s">
        <v>278</v>
      </c>
      <c r="F116" s="9"/>
      <c r="G116" s="3"/>
      <c r="H116" s="3"/>
      <c r="I116" s="6" t="s">
        <v>309</v>
      </c>
      <c r="J116" s="6" t="s">
        <v>84</v>
      </c>
      <c r="K116" s="7" t="s">
        <v>308</v>
      </c>
    </row>
    <row r="117" s="2" customFormat="1" spans="1:11">
      <c r="A117" s="3" t="s">
        <v>277</v>
      </c>
      <c r="B117" s="8">
        <f>SUBTOTAL(103,$A$1:A117)-1</f>
        <v>116</v>
      </c>
      <c r="C117" s="3" t="s">
        <v>77</v>
      </c>
      <c r="D117" s="9" t="s">
        <v>184</v>
      </c>
      <c r="E117" s="3" t="s">
        <v>278</v>
      </c>
      <c r="F117" s="9"/>
      <c r="G117" s="3"/>
      <c r="H117" s="3"/>
      <c r="I117" s="6" t="s">
        <v>307</v>
      </c>
      <c r="J117" s="6" t="s">
        <v>84</v>
      </c>
      <c r="K117" s="7" t="s">
        <v>308</v>
      </c>
    </row>
    <row r="118" s="2" customFormat="1" spans="1:11">
      <c r="A118" s="3" t="s">
        <v>277</v>
      </c>
      <c r="B118" s="8">
        <f>SUBTOTAL(103,$A$1:A118)-1</f>
        <v>117</v>
      </c>
      <c r="C118" s="3" t="s">
        <v>71</v>
      </c>
      <c r="D118" s="9" t="s">
        <v>230</v>
      </c>
      <c r="E118" s="3" t="s">
        <v>278</v>
      </c>
      <c r="F118" s="9"/>
      <c r="G118" s="3"/>
      <c r="H118" s="3"/>
      <c r="I118" s="6" t="s">
        <v>304</v>
      </c>
      <c r="J118" s="6" t="s">
        <v>40</v>
      </c>
      <c r="K118" s="7"/>
    </row>
    <row r="119" s="2" customFormat="1" spans="1:11">
      <c r="A119" s="3" t="s">
        <v>277</v>
      </c>
      <c r="B119" s="8">
        <f>SUBTOTAL(103,$A$1:A119)-1</f>
        <v>118</v>
      </c>
      <c r="C119" s="3" t="s">
        <v>77</v>
      </c>
      <c r="D119" s="9" t="s">
        <v>184</v>
      </c>
      <c r="E119" s="3" t="s">
        <v>278</v>
      </c>
      <c r="F119" s="9"/>
      <c r="G119" s="3"/>
      <c r="H119" s="3"/>
      <c r="I119" s="6" t="s">
        <v>312</v>
      </c>
      <c r="J119" s="6" t="s">
        <v>40</v>
      </c>
      <c r="K119" s="7"/>
    </row>
    <row r="120" s="2" customFormat="1" spans="1:11">
      <c r="A120" s="3" t="s">
        <v>277</v>
      </c>
      <c r="B120" s="8">
        <f>SUBTOTAL(103,$A$1:A120)-1</f>
        <v>119</v>
      </c>
      <c r="C120" s="3" t="s">
        <v>77</v>
      </c>
      <c r="D120" s="9" t="s">
        <v>184</v>
      </c>
      <c r="E120" s="3" t="s">
        <v>278</v>
      </c>
      <c r="F120" s="9"/>
      <c r="G120" s="3"/>
      <c r="H120" s="3"/>
      <c r="I120" s="6" t="s">
        <v>311</v>
      </c>
      <c r="J120" s="6" t="s">
        <v>75</v>
      </c>
      <c r="K120" s="7"/>
    </row>
    <row r="121" s="2" customFormat="1" spans="1:11">
      <c r="A121" s="3" t="s">
        <v>277</v>
      </c>
      <c r="B121" s="8">
        <f>SUBTOTAL(103,$A$1:A121)-1</f>
        <v>120</v>
      </c>
      <c r="C121" s="3" t="s">
        <v>77</v>
      </c>
      <c r="D121" s="9" t="s">
        <v>184</v>
      </c>
      <c r="E121" s="3" t="s">
        <v>278</v>
      </c>
      <c r="F121" s="9"/>
      <c r="G121" s="3"/>
      <c r="H121" s="3"/>
      <c r="I121" s="6" t="s">
        <v>308</v>
      </c>
      <c r="J121" s="6" t="s">
        <v>84</v>
      </c>
      <c r="K121" s="7" t="s">
        <v>308</v>
      </c>
    </row>
    <row r="122" s="2" customFormat="1" spans="1:11">
      <c r="A122" s="3" t="s">
        <v>277</v>
      </c>
      <c r="B122" s="8">
        <f>SUBTOTAL(103,$A$1:A122)-1</f>
        <v>121</v>
      </c>
      <c r="C122" s="3" t="s">
        <v>77</v>
      </c>
      <c r="D122" s="9" t="s">
        <v>184</v>
      </c>
      <c r="E122" s="3" t="s">
        <v>278</v>
      </c>
      <c r="F122" s="9"/>
      <c r="G122" s="3"/>
      <c r="H122" s="3"/>
      <c r="I122" s="6" t="s">
        <v>310</v>
      </c>
      <c r="J122" s="6" t="s">
        <v>84</v>
      </c>
      <c r="K122" s="7"/>
    </row>
    <row r="123" s="2" customFormat="1" spans="1:11">
      <c r="A123" s="3" t="s">
        <v>277</v>
      </c>
      <c r="B123" s="8">
        <f>SUBTOTAL(103,$A$1:A123)-1</f>
        <v>122</v>
      </c>
      <c r="C123" s="3" t="s">
        <v>77</v>
      </c>
      <c r="D123" s="9" t="s">
        <v>184</v>
      </c>
      <c r="E123" s="3" t="s">
        <v>278</v>
      </c>
      <c r="F123" s="9"/>
      <c r="G123" s="3"/>
      <c r="H123" s="3"/>
      <c r="I123" s="6" t="s">
        <v>306</v>
      </c>
      <c r="J123" s="6" t="s">
        <v>40</v>
      </c>
      <c r="K123" s="7"/>
    </row>
    <row r="124" s="2" customFormat="1" spans="1:11">
      <c r="A124" s="3" t="s">
        <v>362</v>
      </c>
      <c r="B124" s="8">
        <f>SUBTOTAL(103,$A$1:A124)-1</f>
        <v>123</v>
      </c>
      <c r="C124" s="3" t="s">
        <v>50</v>
      </c>
      <c r="D124" s="9" t="s">
        <v>184</v>
      </c>
      <c r="E124" s="3"/>
      <c r="F124" s="9"/>
      <c r="G124" s="3"/>
      <c r="H124" s="3"/>
      <c r="I124" s="6" t="s">
        <v>251</v>
      </c>
      <c r="J124" s="6" t="s">
        <v>24</v>
      </c>
      <c r="K124" s="7" t="s">
        <v>251</v>
      </c>
    </row>
    <row r="125" s="2" customFormat="1" spans="1:11">
      <c r="A125" s="3" t="s">
        <v>362</v>
      </c>
      <c r="B125" s="8">
        <f>SUBTOTAL(103,$A$1:A125)-1</f>
        <v>124</v>
      </c>
      <c r="C125" s="3" t="s">
        <v>149</v>
      </c>
      <c r="D125" s="9"/>
      <c r="E125" s="3"/>
      <c r="F125" s="9"/>
      <c r="G125" s="3"/>
      <c r="H125" s="3"/>
      <c r="I125" s="6" t="s">
        <v>254</v>
      </c>
      <c r="J125" s="6" t="s">
        <v>75</v>
      </c>
      <c r="K125" s="7"/>
    </row>
    <row r="126" s="2" customFormat="1" spans="1:11">
      <c r="A126" s="3" t="s">
        <v>314</v>
      </c>
      <c r="B126" s="8">
        <f>SUBTOTAL(103,$A$1:A126)-1</f>
        <v>125</v>
      </c>
      <c r="C126" s="3" t="s">
        <v>149</v>
      </c>
      <c r="D126" s="9" t="s">
        <v>184</v>
      </c>
      <c r="E126" s="3"/>
      <c r="F126" s="9"/>
      <c r="G126" s="3"/>
      <c r="H126" s="3"/>
      <c r="I126" s="6" t="s">
        <v>253</v>
      </c>
      <c r="J126" s="6" t="s">
        <v>52</v>
      </c>
      <c r="K126" s="7" t="s">
        <v>253</v>
      </c>
    </row>
    <row r="127" s="2" customFormat="1" spans="1:11">
      <c r="A127" s="3" t="s">
        <v>314</v>
      </c>
      <c r="B127" s="8">
        <f>SUBTOTAL(103,$A$1:A127)-1</f>
        <v>126</v>
      </c>
      <c r="C127" s="3" t="s">
        <v>17</v>
      </c>
      <c r="D127" s="9"/>
      <c r="E127" s="3"/>
      <c r="F127" s="9"/>
      <c r="G127" s="3"/>
      <c r="H127" s="3"/>
      <c r="I127" s="6" t="s">
        <v>237</v>
      </c>
      <c r="J127" s="6" t="s">
        <v>24</v>
      </c>
      <c r="K127" s="7" t="s">
        <v>238</v>
      </c>
    </row>
    <row r="128" s="2" customFormat="1" spans="1:11">
      <c r="A128" s="3" t="s">
        <v>362</v>
      </c>
      <c r="B128" s="8">
        <f>SUBTOTAL(103,$A$1:A128)-1</f>
        <v>127</v>
      </c>
      <c r="C128" s="3" t="s">
        <v>71</v>
      </c>
      <c r="D128" s="9"/>
      <c r="E128" s="3"/>
      <c r="F128" s="9"/>
      <c r="G128" s="3"/>
      <c r="H128" s="3"/>
      <c r="I128" s="6" t="s">
        <v>268</v>
      </c>
      <c r="J128" s="6" t="s">
        <v>40</v>
      </c>
      <c r="K128" s="7"/>
    </row>
    <row r="129" s="2" customFormat="1" spans="1:11">
      <c r="A129" s="3" t="s">
        <v>314</v>
      </c>
      <c r="B129" s="8">
        <f>SUBTOTAL(103,$A$1:A129)-1</f>
        <v>128</v>
      </c>
      <c r="C129" s="3" t="s">
        <v>38</v>
      </c>
      <c r="D129" s="9"/>
      <c r="E129" s="3"/>
      <c r="F129" s="9"/>
      <c r="G129" s="3"/>
      <c r="H129" s="3"/>
      <c r="I129" s="6" t="s">
        <v>252</v>
      </c>
      <c r="J129" s="6" t="s">
        <v>75</v>
      </c>
      <c r="K129" s="7"/>
    </row>
    <row r="130" s="2" customFormat="1" spans="1:11">
      <c r="A130" s="3" t="s">
        <v>314</v>
      </c>
      <c r="B130" s="8">
        <f>SUBTOTAL(103,$A$1:A130)-1</f>
        <v>129</v>
      </c>
      <c r="C130" s="3" t="s">
        <v>17</v>
      </c>
      <c r="D130" s="9"/>
      <c r="E130" s="3"/>
      <c r="F130" s="9"/>
      <c r="G130" s="3"/>
      <c r="H130" s="3"/>
      <c r="I130" s="6" t="s">
        <v>247</v>
      </c>
      <c r="J130" s="6" t="s">
        <v>24</v>
      </c>
      <c r="K130" s="7"/>
    </row>
    <row r="131" s="2" customFormat="1" spans="1:11">
      <c r="A131" s="3" t="s">
        <v>314</v>
      </c>
      <c r="B131" s="8">
        <f>SUBTOTAL(103,$A$1:A131)-1</f>
        <v>130</v>
      </c>
      <c r="C131" s="3"/>
      <c r="D131" s="9"/>
      <c r="E131" s="3"/>
      <c r="F131" s="9"/>
      <c r="G131" s="3"/>
      <c r="H131" s="3"/>
      <c r="I131" s="6" t="s">
        <v>419</v>
      </c>
      <c r="J131" s="6"/>
      <c r="K131" s="7"/>
    </row>
    <row r="132" s="2" customFormat="1" spans="1:11">
      <c r="A132" s="3" t="s">
        <v>314</v>
      </c>
      <c r="B132" s="8">
        <f>SUBTOTAL(103,$A$1:A132)-1</f>
        <v>131</v>
      </c>
      <c r="C132" s="3"/>
      <c r="D132" s="9"/>
      <c r="E132" s="3"/>
      <c r="F132" s="9"/>
      <c r="G132" s="3"/>
      <c r="H132" s="3"/>
      <c r="I132" s="6" t="s">
        <v>892</v>
      </c>
      <c r="J132" s="6"/>
      <c r="K132" s="7"/>
    </row>
    <row r="133" s="2" customFormat="1" spans="1:11">
      <c r="A133" s="3" t="s">
        <v>314</v>
      </c>
      <c r="B133" s="8">
        <f>SUBTOTAL(103,$A$1:A133)-1</f>
        <v>132</v>
      </c>
      <c r="C133" s="3"/>
      <c r="D133" s="9"/>
      <c r="E133" s="3"/>
      <c r="F133" s="9"/>
      <c r="G133" s="3"/>
      <c r="H133" s="3"/>
      <c r="I133" s="6" t="s">
        <v>893</v>
      </c>
      <c r="J133" s="6"/>
      <c r="K133" s="7"/>
    </row>
    <row r="134" s="2" customFormat="1" spans="1:11">
      <c r="A134" s="3" t="s">
        <v>314</v>
      </c>
      <c r="B134" s="8">
        <f>SUBTOTAL(103,$A$1:A134)-1</f>
        <v>133</v>
      </c>
      <c r="C134" s="3"/>
      <c r="D134" s="9"/>
      <c r="E134" s="3"/>
      <c r="F134" s="9"/>
      <c r="G134" s="3"/>
      <c r="H134" s="3"/>
      <c r="I134" s="6" t="s">
        <v>894</v>
      </c>
      <c r="J134" s="6"/>
      <c r="K134" s="7"/>
    </row>
    <row r="135" s="2" customFormat="1" spans="1:11">
      <c r="A135" s="3" t="s">
        <v>314</v>
      </c>
      <c r="B135" s="8">
        <f>SUBTOTAL(103,$A$1:A135)-1</f>
        <v>134</v>
      </c>
      <c r="C135" s="3"/>
      <c r="D135" s="9"/>
      <c r="E135" s="3"/>
      <c r="F135" s="9"/>
      <c r="G135" s="3"/>
      <c r="H135" s="3"/>
      <c r="I135" s="6" t="s">
        <v>895</v>
      </c>
      <c r="J135" s="6"/>
      <c r="K135" s="7"/>
    </row>
    <row r="136" s="2" customFormat="1" spans="1:11">
      <c r="A136" s="3" t="s">
        <v>314</v>
      </c>
      <c r="B136" s="8">
        <f>SUBTOTAL(103,$A$1:A136)-1</f>
        <v>135</v>
      </c>
      <c r="C136" s="3"/>
      <c r="D136" s="9"/>
      <c r="E136" s="3"/>
      <c r="F136" s="9"/>
      <c r="G136" s="3"/>
      <c r="H136" s="3"/>
      <c r="I136" s="6" t="s">
        <v>896</v>
      </c>
      <c r="J136" s="6"/>
      <c r="K136" s="7"/>
    </row>
    <row r="137" s="2" customFormat="1" spans="1:11">
      <c r="A137" s="3" t="s">
        <v>314</v>
      </c>
      <c r="B137" s="8">
        <f>SUBTOTAL(103,$A$1:A137)-1</f>
        <v>136</v>
      </c>
      <c r="C137" s="3"/>
      <c r="D137" s="9"/>
      <c r="E137" s="3"/>
      <c r="F137" s="9"/>
      <c r="G137" s="3"/>
      <c r="H137" s="3"/>
      <c r="I137" s="6" t="s">
        <v>341</v>
      </c>
      <c r="J137" s="6"/>
      <c r="K137" s="7"/>
    </row>
    <row r="138" s="2" customFormat="1" spans="1:11">
      <c r="A138" s="3" t="s">
        <v>314</v>
      </c>
      <c r="B138" s="8">
        <f>SUBTOTAL(103,$A$1:A138)-1</f>
        <v>137</v>
      </c>
      <c r="C138" s="3"/>
      <c r="D138" s="9"/>
      <c r="E138" s="3"/>
      <c r="F138" s="9"/>
      <c r="G138" s="3"/>
      <c r="H138" s="3"/>
      <c r="I138" s="6" t="s">
        <v>897</v>
      </c>
      <c r="J138" s="6"/>
      <c r="K138" s="7"/>
    </row>
    <row r="139" s="2" customFormat="1" spans="1:11">
      <c r="A139" s="3" t="s">
        <v>314</v>
      </c>
      <c r="B139" s="8">
        <f>SUBTOTAL(103,$A$1:A139)-1</f>
        <v>138</v>
      </c>
      <c r="C139" s="3"/>
      <c r="D139" s="9"/>
      <c r="E139" s="3"/>
      <c r="F139" s="9"/>
      <c r="G139" s="3"/>
      <c r="H139" s="3"/>
      <c r="I139" s="6" t="s">
        <v>342</v>
      </c>
      <c r="J139" s="6"/>
      <c r="K139" s="7"/>
    </row>
    <row r="140" s="2" customFormat="1" spans="1:11">
      <c r="A140" s="3" t="s">
        <v>314</v>
      </c>
      <c r="B140" s="8">
        <f>SUBTOTAL(103,$A$1:A140)-1</f>
        <v>139</v>
      </c>
      <c r="C140" s="3"/>
      <c r="D140" s="9"/>
      <c r="E140" s="3"/>
      <c r="F140" s="9"/>
      <c r="G140" s="3"/>
      <c r="H140" s="3"/>
      <c r="I140" s="6" t="s">
        <v>898</v>
      </c>
      <c r="J140" s="6"/>
      <c r="K140" s="7"/>
    </row>
    <row r="141" s="2" customFormat="1" spans="1:11">
      <c r="A141" s="3" t="s">
        <v>314</v>
      </c>
      <c r="B141" s="8">
        <f>SUBTOTAL(103,$A$1:A141)-1</f>
        <v>140</v>
      </c>
      <c r="C141" s="3"/>
      <c r="D141" s="9"/>
      <c r="E141" s="3"/>
      <c r="F141" s="9"/>
      <c r="G141" s="3"/>
      <c r="H141" s="3"/>
      <c r="I141" s="6" t="s">
        <v>899</v>
      </c>
      <c r="J141" s="6"/>
      <c r="K141" s="7"/>
    </row>
    <row r="142" s="2" customFormat="1" spans="1:11">
      <c r="A142" s="3" t="s">
        <v>314</v>
      </c>
      <c r="B142" s="8">
        <f>SUBTOTAL(103,$A$1:A142)-1</f>
        <v>141</v>
      </c>
      <c r="C142" s="3"/>
      <c r="D142" s="9"/>
      <c r="E142" s="3"/>
      <c r="F142" s="9"/>
      <c r="G142" s="3"/>
      <c r="H142" s="3"/>
      <c r="I142" s="6" t="s">
        <v>900</v>
      </c>
      <c r="J142" s="6"/>
      <c r="K142" s="7"/>
    </row>
    <row r="143" s="2" customFormat="1" spans="1:11">
      <c r="A143" s="3" t="s">
        <v>314</v>
      </c>
      <c r="B143" s="8">
        <f>SUBTOTAL(103,$A$1:A143)-1</f>
        <v>142</v>
      </c>
      <c r="C143" s="3"/>
      <c r="D143" s="9"/>
      <c r="E143" s="3"/>
      <c r="F143" s="9"/>
      <c r="G143" s="3"/>
      <c r="H143" s="3"/>
      <c r="I143" s="6" t="s">
        <v>901</v>
      </c>
      <c r="J143" s="6"/>
      <c r="K143" s="7"/>
    </row>
    <row r="144" s="2" customFormat="1" spans="1:11">
      <c r="A144" s="3" t="s">
        <v>314</v>
      </c>
      <c r="B144" s="8">
        <f>SUBTOTAL(103,$A$1:A144)-1</f>
        <v>143</v>
      </c>
      <c r="C144" s="3"/>
      <c r="D144" s="9"/>
      <c r="E144" s="3"/>
      <c r="F144" s="9"/>
      <c r="G144" s="3"/>
      <c r="H144" s="3"/>
      <c r="I144" s="6" t="s">
        <v>902</v>
      </c>
      <c r="J144" s="6"/>
      <c r="K144" s="7"/>
    </row>
    <row r="145" s="2" customFormat="1" spans="1:11">
      <c r="A145" s="3" t="s">
        <v>314</v>
      </c>
      <c r="B145" s="8">
        <f>SUBTOTAL(103,$A$1:A145)-1</f>
        <v>144</v>
      </c>
      <c r="C145" s="3"/>
      <c r="D145" s="9"/>
      <c r="E145" s="3"/>
      <c r="F145" s="9"/>
      <c r="G145" s="3"/>
      <c r="H145" s="3"/>
      <c r="I145" s="6" t="s">
        <v>903</v>
      </c>
      <c r="J145" s="6"/>
      <c r="K145" s="7"/>
    </row>
    <row r="146" s="2" customFormat="1" spans="1:11">
      <c r="A146" s="3" t="s">
        <v>179</v>
      </c>
      <c r="B146" s="8">
        <f>SUBTOTAL(103,$A$1:A146)-1</f>
        <v>145</v>
      </c>
      <c r="C146" s="3" t="s">
        <v>77</v>
      </c>
      <c r="D146" s="9" t="s">
        <v>230</v>
      </c>
      <c r="E146" s="3" t="s">
        <v>180</v>
      </c>
      <c r="F146" s="9"/>
      <c r="G146" s="3"/>
      <c r="H146" s="3"/>
      <c r="I146" s="6" t="s">
        <v>234</v>
      </c>
      <c r="J146" s="6" t="s">
        <v>84</v>
      </c>
      <c r="K146" s="7" t="s">
        <v>228</v>
      </c>
    </row>
    <row r="147" s="2" customFormat="1" spans="1:11">
      <c r="A147" s="3" t="s">
        <v>179</v>
      </c>
      <c r="B147" s="8">
        <f>SUBTOTAL(103,$A$1:A147)-1</f>
        <v>146</v>
      </c>
      <c r="C147" s="3" t="s">
        <v>77</v>
      </c>
      <c r="D147" s="9" t="s">
        <v>184</v>
      </c>
      <c r="E147" s="3" t="s">
        <v>180</v>
      </c>
      <c r="F147" s="9"/>
      <c r="G147" s="3"/>
      <c r="H147" s="3"/>
      <c r="I147" s="6" t="s">
        <v>227</v>
      </c>
      <c r="J147" s="6" t="s">
        <v>84</v>
      </c>
      <c r="K147" s="7" t="s">
        <v>228</v>
      </c>
    </row>
    <row r="148" s="2" customFormat="1" spans="1:11">
      <c r="A148" s="3" t="s">
        <v>179</v>
      </c>
      <c r="B148" s="8">
        <f>SUBTOTAL(103,$A$1:A148)-1</f>
        <v>147</v>
      </c>
      <c r="C148" s="3" t="s">
        <v>77</v>
      </c>
      <c r="D148" s="9" t="s">
        <v>184</v>
      </c>
      <c r="E148" s="3" t="s">
        <v>180</v>
      </c>
      <c r="F148" s="9"/>
      <c r="G148" s="3"/>
      <c r="H148" s="3"/>
      <c r="I148" s="6" t="s">
        <v>229</v>
      </c>
      <c r="J148" s="6" t="s">
        <v>84</v>
      </c>
      <c r="K148" s="7" t="s">
        <v>228</v>
      </c>
    </row>
    <row r="149" s="2" customFormat="1" spans="1:11">
      <c r="A149" s="3" t="s">
        <v>179</v>
      </c>
      <c r="B149" s="8">
        <f>SUBTOTAL(103,$A$1:A149)-1</f>
        <v>148</v>
      </c>
      <c r="C149" s="3" t="s">
        <v>17</v>
      </c>
      <c r="D149" s="9" t="s">
        <v>184</v>
      </c>
      <c r="E149" s="3" t="s">
        <v>180</v>
      </c>
      <c r="F149" s="9"/>
      <c r="G149" s="3"/>
      <c r="H149" s="3"/>
      <c r="I149" s="6" t="s">
        <v>190</v>
      </c>
      <c r="J149" s="6" t="s">
        <v>24</v>
      </c>
      <c r="K149" s="7" t="s">
        <v>191</v>
      </c>
    </row>
    <row r="150" s="2" customFormat="1" spans="1:11">
      <c r="A150" s="3" t="s">
        <v>179</v>
      </c>
      <c r="B150" s="8">
        <f>SUBTOTAL(103,$A$1:A150)-1</f>
        <v>149</v>
      </c>
      <c r="C150" s="3" t="s">
        <v>17</v>
      </c>
      <c r="D150" s="9" t="s">
        <v>184</v>
      </c>
      <c r="E150" s="3" t="s">
        <v>180</v>
      </c>
      <c r="F150" s="9"/>
      <c r="G150" s="3"/>
      <c r="H150" s="3"/>
      <c r="I150" s="6" t="s">
        <v>186</v>
      </c>
      <c r="J150" s="6" t="s">
        <v>75</v>
      </c>
      <c r="K150" s="7" t="s">
        <v>94</v>
      </c>
    </row>
    <row r="151" s="2" customFormat="1" spans="1:11">
      <c r="A151" s="3" t="s">
        <v>179</v>
      </c>
      <c r="B151" s="8">
        <f>SUBTOTAL(103,$A$1:A151)-1</f>
        <v>150</v>
      </c>
      <c r="C151" s="3" t="s">
        <v>17</v>
      </c>
      <c r="D151" s="9" t="s">
        <v>184</v>
      </c>
      <c r="E151" s="3" t="s">
        <v>180</v>
      </c>
      <c r="F151" s="9"/>
      <c r="G151" s="3"/>
      <c r="H151" s="3"/>
      <c r="I151" s="6" t="s">
        <v>185</v>
      </c>
      <c r="J151" s="6" t="s">
        <v>75</v>
      </c>
      <c r="K151" s="7" t="s">
        <v>94</v>
      </c>
    </row>
    <row r="152" s="2" customFormat="1" spans="1:11">
      <c r="A152" s="3" t="s">
        <v>179</v>
      </c>
      <c r="B152" s="8">
        <f>SUBTOTAL(103,$A$1:A152)-1</f>
        <v>151</v>
      </c>
      <c r="C152" s="3" t="s">
        <v>38</v>
      </c>
      <c r="D152" s="9" t="s">
        <v>184</v>
      </c>
      <c r="E152" s="3" t="s">
        <v>180</v>
      </c>
      <c r="F152" s="9"/>
      <c r="G152" s="3"/>
      <c r="H152" s="3"/>
      <c r="I152" s="6" t="s">
        <v>193</v>
      </c>
      <c r="J152" s="6" t="s">
        <v>40</v>
      </c>
      <c r="K152" s="7" t="s">
        <v>132</v>
      </c>
    </row>
    <row r="153" s="2" customFormat="1" spans="1:11">
      <c r="A153" s="3" t="s">
        <v>179</v>
      </c>
      <c r="B153" s="8">
        <f>SUBTOTAL(103,$A$1:A153)-1</f>
        <v>152</v>
      </c>
      <c r="C153" s="3" t="s">
        <v>50</v>
      </c>
      <c r="D153" s="9" t="s">
        <v>195</v>
      </c>
      <c r="E153" s="3" t="s">
        <v>180</v>
      </c>
      <c r="F153" s="9"/>
      <c r="G153" s="3"/>
      <c r="H153" s="3"/>
      <c r="I153" s="6" t="s">
        <v>198</v>
      </c>
      <c r="J153" s="6" t="s">
        <v>40</v>
      </c>
      <c r="K153" s="7" t="s">
        <v>197</v>
      </c>
    </row>
    <row r="154" s="2" customFormat="1" spans="1:11">
      <c r="A154" s="3" t="s">
        <v>179</v>
      </c>
      <c r="B154" s="8">
        <f>SUBTOTAL(103,$A$1:A154)-1</f>
        <v>153</v>
      </c>
      <c r="C154" s="3" t="s">
        <v>50</v>
      </c>
      <c r="D154" s="9" t="s">
        <v>195</v>
      </c>
      <c r="E154" s="3" t="s">
        <v>180</v>
      </c>
      <c r="F154" s="9"/>
      <c r="G154" s="3"/>
      <c r="H154" s="3"/>
      <c r="I154" s="6" t="s">
        <v>196</v>
      </c>
      <c r="J154" s="6" t="s">
        <v>40</v>
      </c>
      <c r="K154" s="7" t="s">
        <v>197</v>
      </c>
    </row>
    <row r="155" s="2" customFormat="1" spans="1:11">
      <c r="A155" s="3" t="s">
        <v>179</v>
      </c>
      <c r="B155" s="8">
        <f>SUBTOTAL(103,$A$1:A155)-1</f>
        <v>154</v>
      </c>
      <c r="C155" s="3" t="s">
        <v>50</v>
      </c>
      <c r="D155" s="9" t="s">
        <v>195</v>
      </c>
      <c r="E155" s="3" t="s">
        <v>180</v>
      </c>
      <c r="F155" s="9"/>
      <c r="G155" s="3"/>
      <c r="H155" s="3"/>
      <c r="I155" s="6" t="s">
        <v>203</v>
      </c>
      <c r="J155" s="6" t="s">
        <v>40</v>
      </c>
      <c r="K155" s="7" t="s">
        <v>197</v>
      </c>
    </row>
    <row r="156" s="2" customFormat="1" spans="1:11">
      <c r="A156" s="3" t="s">
        <v>179</v>
      </c>
      <c r="B156" s="8">
        <f>SUBTOTAL(103,$A$1:A156)-1</f>
        <v>155</v>
      </c>
      <c r="C156" s="3" t="s">
        <v>38</v>
      </c>
      <c r="D156" s="9" t="s">
        <v>184</v>
      </c>
      <c r="E156" s="3" t="s">
        <v>180</v>
      </c>
      <c r="F156" s="9" t="s">
        <v>146</v>
      </c>
      <c r="G156" s="3" t="s">
        <v>187</v>
      </c>
      <c r="H156" s="3"/>
      <c r="I156" s="6" t="s">
        <v>194</v>
      </c>
      <c r="J156" s="6" t="s">
        <v>75</v>
      </c>
      <c r="K156" s="7" t="s">
        <v>132</v>
      </c>
    </row>
    <row r="157" s="2" customFormat="1" spans="1:11">
      <c r="A157" s="3" t="s">
        <v>179</v>
      </c>
      <c r="B157" s="8">
        <f>SUBTOTAL(103,$A$1:A157)-1</f>
        <v>156</v>
      </c>
      <c r="C157" s="3" t="s">
        <v>50</v>
      </c>
      <c r="D157" s="9" t="s">
        <v>184</v>
      </c>
      <c r="E157" s="3" t="s">
        <v>180</v>
      </c>
      <c r="F157" s="9" t="s">
        <v>146</v>
      </c>
      <c r="G157" s="3" t="s">
        <v>187</v>
      </c>
      <c r="H157" s="3"/>
      <c r="I157" s="6" t="s">
        <v>199</v>
      </c>
      <c r="J157" s="6" t="s">
        <v>75</v>
      </c>
      <c r="K157" s="7" t="s">
        <v>200</v>
      </c>
    </row>
    <row r="158" s="2" customFormat="1" spans="1:11">
      <c r="A158" s="3" t="s">
        <v>179</v>
      </c>
      <c r="B158" s="8">
        <f>SUBTOTAL(103,$A$1:A158)-1</f>
        <v>157</v>
      </c>
      <c r="C158" s="3" t="s">
        <v>38</v>
      </c>
      <c r="D158" s="9" t="s">
        <v>184</v>
      </c>
      <c r="E158" s="3" t="s">
        <v>180</v>
      </c>
      <c r="F158" s="9" t="s">
        <v>146</v>
      </c>
      <c r="G158" s="3" t="s">
        <v>187</v>
      </c>
      <c r="H158" s="3"/>
      <c r="I158" s="6" t="s">
        <v>192</v>
      </c>
      <c r="J158" s="6" t="s">
        <v>52</v>
      </c>
      <c r="K158" s="7" t="s">
        <v>120</v>
      </c>
    </row>
    <row r="159" s="2" customFormat="1" spans="1:11">
      <c r="A159" s="3" t="s">
        <v>179</v>
      </c>
      <c r="B159" s="8">
        <f>SUBTOTAL(103,$A$1:A159)-1</f>
        <v>158</v>
      </c>
      <c r="C159" s="3" t="s">
        <v>50</v>
      </c>
      <c r="D159" s="9" t="s">
        <v>184</v>
      </c>
      <c r="E159" s="3" t="s">
        <v>180</v>
      </c>
      <c r="F159" s="9" t="s">
        <v>146</v>
      </c>
      <c r="G159" s="3" t="s">
        <v>187</v>
      </c>
      <c r="H159" s="3"/>
      <c r="I159" s="6" t="s">
        <v>206</v>
      </c>
      <c r="J159" s="6" t="s">
        <v>52</v>
      </c>
      <c r="K159" s="7" t="s">
        <v>207</v>
      </c>
    </row>
    <row r="160" s="2" customFormat="1" spans="1:11">
      <c r="A160" s="3" t="s">
        <v>179</v>
      </c>
      <c r="B160" s="8">
        <f>SUBTOTAL(103,$A$1:A160)-1</f>
        <v>159</v>
      </c>
      <c r="C160" s="3" t="s">
        <v>50</v>
      </c>
      <c r="D160" s="9" t="s">
        <v>184</v>
      </c>
      <c r="E160" s="3" t="s">
        <v>180</v>
      </c>
      <c r="F160" s="9" t="s">
        <v>146</v>
      </c>
      <c r="G160" s="3" t="s">
        <v>187</v>
      </c>
      <c r="H160" s="3"/>
      <c r="I160" s="6" t="s">
        <v>210</v>
      </c>
      <c r="J160" s="6" t="s">
        <v>52</v>
      </c>
      <c r="K160" s="7" t="s">
        <v>202</v>
      </c>
    </row>
    <row r="161" s="2" customFormat="1" spans="1:11">
      <c r="A161" s="3" t="s">
        <v>179</v>
      </c>
      <c r="B161" s="8">
        <f>SUBTOTAL(103,$A$1:A161)-1</f>
        <v>160</v>
      </c>
      <c r="C161" s="3" t="s">
        <v>50</v>
      </c>
      <c r="D161" s="9" t="s">
        <v>184</v>
      </c>
      <c r="E161" s="3" t="s">
        <v>180</v>
      </c>
      <c r="F161" s="9" t="s">
        <v>146</v>
      </c>
      <c r="G161" s="3" t="s">
        <v>187</v>
      </c>
      <c r="H161" s="3"/>
      <c r="I161" s="6" t="s">
        <v>204</v>
      </c>
      <c r="J161" s="6" t="s">
        <v>52</v>
      </c>
      <c r="K161" s="7" t="s">
        <v>202</v>
      </c>
    </row>
    <row r="162" s="2" customFormat="1" spans="1:11">
      <c r="A162" s="3" t="s">
        <v>179</v>
      </c>
      <c r="B162" s="8">
        <f>SUBTOTAL(103,$A$1:A162)-1</f>
        <v>161</v>
      </c>
      <c r="C162" s="3" t="s">
        <v>50</v>
      </c>
      <c r="D162" s="9" t="s">
        <v>184</v>
      </c>
      <c r="E162" s="3" t="s">
        <v>180</v>
      </c>
      <c r="F162" s="9" t="s">
        <v>146</v>
      </c>
      <c r="G162" s="3" t="s">
        <v>187</v>
      </c>
      <c r="H162" s="3"/>
      <c r="I162" s="6" t="s">
        <v>211</v>
      </c>
      <c r="J162" s="6" t="s">
        <v>52</v>
      </c>
      <c r="K162" s="7" t="s">
        <v>202</v>
      </c>
    </row>
    <row r="163" s="2" customFormat="1" spans="1:11">
      <c r="A163" s="3" t="s">
        <v>179</v>
      </c>
      <c r="B163" s="8">
        <f>SUBTOTAL(103,$A$1:A163)-1</f>
        <v>162</v>
      </c>
      <c r="C163" s="3" t="s">
        <v>149</v>
      </c>
      <c r="D163" s="9" t="s">
        <v>195</v>
      </c>
      <c r="E163" s="3" t="s">
        <v>180</v>
      </c>
      <c r="F163" s="9" t="s">
        <v>146</v>
      </c>
      <c r="G163" s="3" t="s">
        <v>187</v>
      </c>
      <c r="H163" s="3"/>
      <c r="I163" s="6" t="s">
        <v>220</v>
      </c>
      <c r="J163" s="6" t="s">
        <v>52</v>
      </c>
      <c r="K163" s="7" t="s">
        <v>216</v>
      </c>
    </row>
    <row r="164" s="2" customFormat="1" spans="1:11">
      <c r="A164" s="3" t="s">
        <v>179</v>
      </c>
      <c r="B164" s="8">
        <f>SUBTOTAL(103,$A$1:A164)-1</f>
        <v>163</v>
      </c>
      <c r="C164" s="3" t="s">
        <v>149</v>
      </c>
      <c r="D164" s="9" t="s">
        <v>184</v>
      </c>
      <c r="E164" s="3" t="s">
        <v>180</v>
      </c>
      <c r="F164" s="9" t="s">
        <v>146</v>
      </c>
      <c r="G164" s="3" t="s">
        <v>187</v>
      </c>
      <c r="H164" s="3"/>
      <c r="I164" s="6" t="s">
        <v>217</v>
      </c>
      <c r="J164" s="6" t="s">
        <v>52</v>
      </c>
      <c r="K164" s="7" t="s">
        <v>218</v>
      </c>
    </row>
    <row r="165" s="2" customFormat="1" spans="1:11">
      <c r="A165" s="3" t="s">
        <v>179</v>
      </c>
      <c r="B165" s="8">
        <f>SUBTOTAL(103,$A$1:A165)-1</f>
        <v>164</v>
      </c>
      <c r="C165" s="3" t="s">
        <v>149</v>
      </c>
      <c r="D165" s="9" t="s">
        <v>184</v>
      </c>
      <c r="E165" s="3" t="s">
        <v>180</v>
      </c>
      <c r="F165" s="9" t="s">
        <v>146</v>
      </c>
      <c r="G165" s="3" t="s">
        <v>187</v>
      </c>
      <c r="H165" s="3"/>
      <c r="I165" s="6" t="s">
        <v>215</v>
      </c>
      <c r="J165" s="6" t="s">
        <v>52</v>
      </c>
      <c r="K165" s="7" t="s">
        <v>216</v>
      </c>
    </row>
    <row r="166" s="2" customFormat="1" spans="1:11">
      <c r="A166" s="3" t="s">
        <v>179</v>
      </c>
      <c r="B166" s="8">
        <f>SUBTOTAL(103,$A$1:A166)-1</f>
        <v>165</v>
      </c>
      <c r="C166" s="3" t="s">
        <v>149</v>
      </c>
      <c r="D166" s="9" t="s">
        <v>184</v>
      </c>
      <c r="E166" s="3" t="s">
        <v>180</v>
      </c>
      <c r="F166" s="9" t="s">
        <v>146</v>
      </c>
      <c r="G166" s="3" t="s">
        <v>187</v>
      </c>
      <c r="H166" s="3"/>
      <c r="I166" s="6" t="s">
        <v>219</v>
      </c>
      <c r="J166" s="6" t="s">
        <v>52</v>
      </c>
      <c r="K166" s="7" t="s">
        <v>216</v>
      </c>
    </row>
    <row r="167" s="2" customFormat="1" spans="1:11">
      <c r="A167" s="3" t="s">
        <v>179</v>
      </c>
      <c r="B167" s="8">
        <f>SUBTOTAL(103,$A$1:A167)-1</f>
        <v>166</v>
      </c>
      <c r="C167" s="3" t="s">
        <v>149</v>
      </c>
      <c r="D167" s="9" t="s">
        <v>184</v>
      </c>
      <c r="E167" s="3" t="s">
        <v>180</v>
      </c>
      <c r="F167" s="9" t="s">
        <v>146</v>
      </c>
      <c r="G167" s="3" t="s">
        <v>187</v>
      </c>
      <c r="H167" s="3"/>
      <c r="I167" s="6" t="s">
        <v>221</v>
      </c>
      <c r="J167" s="6" t="s">
        <v>52</v>
      </c>
      <c r="K167" s="7" t="s">
        <v>222</v>
      </c>
    </row>
    <row r="168" s="2" customFormat="1" spans="1:11">
      <c r="A168" s="3" t="s">
        <v>179</v>
      </c>
      <c r="B168" s="8">
        <f>SUBTOTAL(103,$A$1:A168)-1</f>
        <v>167</v>
      </c>
      <c r="C168" s="3" t="s">
        <v>17</v>
      </c>
      <c r="D168" s="9" t="s">
        <v>184</v>
      </c>
      <c r="E168" s="3" t="s">
        <v>180</v>
      </c>
      <c r="F168" s="9" t="s">
        <v>146</v>
      </c>
      <c r="G168" s="3" t="s">
        <v>187</v>
      </c>
      <c r="H168" s="3"/>
      <c r="I168" s="6" t="s">
        <v>189</v>
      </c>
      <c r="J168" s="6" t="s">
        <v>24</v>
      </c>
      <c r="K168" s="7" t="s">
        <v>171</v>
      </c>
    </row>
    <row r="169" s="2" customFormat="1" spans="1:11">
      <c r="A169" s="3" t="s">
        <v>179</v>
      </c>
      <c r="B169" s="8">
        <f>SUBTOTAL(103,$A$1:A169)-1</f>
        <v>168</v>
      </c>
      <c r="C169" s="3" t="s">
        <v>17</v>
      </c>
      <c r="D169" s="9" t="s">
        <v>184</v>
      </c>
      <c r="E169" s="3" t="s">
        <v>180</v>
      </c>
      <c r="F169" s="9" t="s">
        <v>146</v>
      </c>
      <c r="G169" s="3" t="s">
        <v>187</v>
      </c>
      <c r="H169" s="3"/>
      <c r="I169" s="6" t="s">
        <v>188</v>
      </c>
      <c r="J169" s="6" t="s">
        <v>24</v>
      </c>
      <c r="K169" s="7" t="s">
        <v>171</v>
      </c>
    </row>
    <row r="170" s="2" customFormat="1" spans="1:11">
      <c r="A170" s="3" t="s">
        <v>179</v>
      </c>
      <c r="B170" s="8">
        <f>SUBTOTAL(103,$A$1:A170)-1</f>
        <v>169</v>
      </c>
      <c r="C170" s="3" t="s">
        <v>77</v>
      </c>
      <c r="D170" s="9" t="s">
        <v>230</v>
      </c>
      <c r="E170" s="3" t="s">
        <v>180</v>
      </c>
      <c r="F170" s="9" t="s">
        <v>146</v>
      </c>
      <c r="G170" s="3" t="s">
        <v>187</v>
      </c>
      <c r="H170" s="3"/>
      <c r="I170" s="6" t="s">
        <v>233</v>
      </c>
      <c r="J170" s="6" t="s">
        <v>84</v>
      </c>
      <c r="K170" s="7" t="s">
        <v>228</v>
      </c>
    </row>
    <row r="171" s="2" customFormat="1" spans="1:11">
      <c r="A171" s="3" t="s">
        <v>179</v>
      </c>
      <c r="B171" s="8">
        <f>SUBTOTAL(103,$A$1:A171)-1</f>
        <v>170</v>
      </c>
      <c r="C171" s="3" t="s">
        <v>77</v>
      </c>
      <c r="D171" s="9" t="s">
        <v>230</v>
      </c>
      <c r="E171" s="3" t="s">
        <v>180</v>
      </c>
      <c r="F171" s="9" t="s">
        <v>146</v>
      </c>
      <c r="G171" s="3" t="s">
        <v>187</v>
      </c>
      <c r="H171" s="3"/>
      <c r="I171" s="6" t="s">
        <v>232</v>
      </c>
      <c r="J171" s="6" t="s">
        <v>84</v>
      </c>
      <c r="K171" s="7" t="s">
        <v>228</v>
      </c>
    </row>
    <row r="172" s="2" customFormat="1" spans="1:11">
      <c r="A172" s="3" t="s">
        <v>179</v>
      </c>
      <c r="B172" s="8">
        <f>SUBTOTAL(103,$A$1:A172)-1</f>
        <v>171</v>
      </c>
      <c r="C172" s="3" t="s">
        <v>50</v>
      </c>
      <c r="D172" s="9" t="s">
        <v>195</v>
      </c>
      <c r="E172" s="3" t="s">
        <v>180</v>
      </c>
      <c r="F172" s="9" t="s">
        <v>146</v>
      </c>
      <c r="G172" s="3" t="s">
        <v>187</v>
      </c>
      <c r="H172" s="3"/>
      <c r="I172" s="6" t="s">
        <v>212</v>
      </c>
      <c r="J172" s="6" t="s">
        <v>40</v>
      </c>
      <c r="K172" s="7" t="s">
        <v>197</v>
      </c>
    </row>
    <row r="173" s="2" customFormat="1" spans="1:11">
      <c r="A173" s="3" t="s">
        <v>179</v>
      </c>
      <c r="B173" s="8">
        <f>SUBTOTAL(103,$A$1:A173)-1</f>
        <v>172</v>
      </c>
      <c r="C173" s="3" t="s">
        <v>50</v>
      </c>
      <c r="D173" s="9" t="s">
        <v>184</v>
      </c>
      <c r="E173" s="3" t="s">
        <v>180</v>
      </c>
      <c r="F173" s="9" t="s">
        <v>146</v>
      </c>
      <c r="G173" s="3" t="s">
        <v>187</v>
      </c>
      <c r="H173" s="3"/>
      <c r="I173" s="6" t="s">
        <v>201</v>
      </c>
      <c r="J173" s="6" t="s">
        <v>40</v>
      </c>
      <c r="K173" s="7" t="s">
        <v>202</v>
      </c>
    </row>
    <row r="174" s="2" customFormat="1" spans="1:11">
      <c r="A174" s="3" t="s">
        <v>362</v>
      </c>
      <c r="B174" s="8">
        <f>SUBTOTAL(103,$A$1:A174)-1</f>
        <v>173</v>
      </c>
      <c r="C174" s="3" t="s">
        <v>149</v>
      </c>
      <c r="D174" s="9"/>
      <c r="E174" s="3"/>
      <c r="F174" s="9"/>
      <c r="G174" s="3"/>
      <c r="H174" s="3"/>
      <c r="I174" s="6" t="s">
        <v>255</v>
      </c>
      <c r="J174" s="6" t="s">
        <v>52</v>
      </c>
      <c r="K174" s="7" t="s">
        <v>256</v>
      </c>
    </row>
    <row r="175" s="2" customFormat="1" spans="1:11">
      <c r="A175" s="3" t="s">
        <v>362</v>
      </c>
      <c r="B175" s="8">
        <f>SUBTOTAL(103,$A$1:A175)-1</f>
        <v>174</v>
      </c>
      <c r="C175" s="3" t="s">
        <v>17</v>
      </c>
      <c r="D175" s="9"/>
      <c r="E175" s="3"/>
      <c r="F175" s="9"/>
      <c r="G175" s="3"/>
      <c r="H175" s="3"/>
      <c r="I175" s="6" t="s">
        <v>241</v>
      </c>
      <c r="J175" s="6" t="s">
        <v>24</v>
      </c>
      <c r="K175" s="7"/>
    </row>
    <row r="176" s="2" customFormat="1" spans="1:11">
      <c r="A176" s="3" t="s">
        <v>362</v>
      </c>
      <c r="B176" s="8">
        <f>SUBTOTAL(103,$A$1:A176)-1</f>
        <v>175</v>
      </c>
      <c r="C176" s="3" t="s">
        <v>149</v>
      </c>
      <c r="D176" s="9"/>
      <c r="E176" s="3"/>
      <c r="F176" s="9"/>
      <c r="G176" s="3"/>
      <c r="H176" s="3"/>
      <c r="I176" s="6" t="s">
        <v>257</v>
      </c>
      <c r="J176" s="6" t="s">
        <v>52</v>
      </c>
      <c r="K176" s="7"/>
    </row>
    <row r="177" s="2" customFormat="1" spans="1:11">
      <c r="A177" s="3" t="s">
        <v>362</v>
      </c>
      <c r="B177" s="8">
        <f>SUBTOTAL(103,$A$1:A177)-1</f>
        <v>176</v>
      </c>
      <c r="C177" s="3" t="s">
        <v>17</v>
      </c>
      <c r="D177" s="9" t="s">
        <v>184</v>
      </c>
      <c r="E177" s="3"/>
      <c r="F177" s="9"/>
      <c r="G177" s="3"/>
      <c r="H177" s="3"/>
      <c r="I177" s="6" t="s">
        <v>747</v>
      </c>
      <c r="J177" s="6" t="s">
        <v>24</v>
      </c>
      <c r="K177" s="7"/>
    </row>
    <row r="178" s="2" customFormat="1" spans="1:11">
      <c r="A178" s="3" t="s">
        <v>362</v>
      </c>
      <c r="B178" s="8">
        <f>SUBTOTAL(103,$A$1:A178)-1</f>
        <v>177</v>
      </c>
      <c r="C178" s="3" t="s">
        <v>17</v>
      </c>
      <c r="D178" s="9" t="s">
        <v>184</v>
      </c>
      <c r="E178" s="3"/>
      <c r="F178" s="9"/>
      <c r="G178" s="3"/>
      <c r="H178" s="3"/>
      <c r="I178" s="6" t="s">
        <v>748</v>
      </c>
      <c r="J178" s="6" t="s">
        <v>24</v>
      </c>
      <c r="K178" s="7"/>
    </row>
    <row r="179" s="2" customFormat="1" spans="1:11">
      <c r="A179" s="3" t="s">
        <v>362</v>
      </c>
      <c r="B179" s="8">
        <f>SUBTOTAL(103,$A$1:A179)-1</f>
        <v>178</v>
      </c>
      <c r="C179" s="3" t="s">
        <v>77</v>
      </c>
      <c r="D179" s="9" t="s">
        <v>184</v>
      </c>
      <c r="E179" s="3"/>
      <c r="F179" s="9"/>
      <c r="G179" s="3"/>
      <c r="H179" s="3"/>
      <c r="I179" s="6" t="s">
        <v>713</v>
      </c>
      <c r="J179" s="6" t="s">
        <v>84</v>
      </c>
      <c r="K179" s="7"/>
    </row>
    <row r="180" s="2" customFormat="1" spans="1:11">
      <c r="A180" s="3" t="s">
        <v>362</v>
      </c>
      <c r="B180" s="8">
        <f>SUBTOTAL(103,$A$1:A180)-1</f>
        <v>179</v>
      </c>
      <c r="C180" s="3" t="s">
        <v>149</v>
      </c>
      <c r="D180" s="9"/>
      <c r="E180" s="3"/>
      <c r="F180" s="9"/>
      <c r="G180" s="3"/>
      <c r="H180" s="3"/>
      <c r="I180" s="6" t="s">
        <v>780</v>
      </c>
      <c r="J180" s="6" t="s">
        <v>75</v>
      </c>
      <c r="K180" s="7"/>
    </row>
    <row r="181" s="2" customFormat="1" spans="1:11">
      <c r="A181" s="3" t="s">
        <v>904</v>
      </c>
      <c r="B181" s="8">
        <f>SUBTOTAL(103,$A$1:A181)-1</f>
        <v>180</v>
      </c>
      <c r="C181" s="3" t="s">
        <v>71</v>
      </c>
      <c r="D181" s="9"/>
      <c r="E181" s="3"/>
      <c r="F181" s="9"/>
      <c r="G181" s="3"/>
      <c r="H181" s="3"/>
      <c r="I181" s="6" t="s">
        <v>905</v>
      </c>
      <c r="J181" s="6" t="s">
        <v>40</v>
      </c>
      <c r="K181" s="7"/>
    </row>
    <row r="182" s="2" customFormat="1" spans="1:11">
      <c r="A182" s="3" t="s">
        <v>904</v>
      </c>
      <c r="B182" s="8">
        <f>SUBTOTAL(103,$A$1:A182)-1</f>
        <v>181</v>
      </c>
      <c r="C182" s="3" t="s">
        <v>71</v>
      </c>
      <c r="D182" s="9"/>
      <c r="E182" s="3"/>
      <c r="F182" s="9"/>
      <c r="G182" s="3"/>
      <c r="H182" s="3"/>
      <c r="I182" s="6" t="s">
        <v>906</v>
      </c>
      <c r="J182" s="6" t="s">
        <v>40</v>
      </c>
      <c r="K182" s="7"/>
    </row>
    <row r="183" s="2" customFormat="1" spans="1:11">
      <c r="A183" s="3" t="s">
        <v>362</v>
      </c>
      <c r="B183" s="8">
        <f>SUBTOTAL(103,$A$1:A183)-1</f>
        <v>182</v>
      </c>
      <c r="C183" s="3" t="s">
        <v>38</v>
      </c>
      <c r="D183" s="9"/>
      <c r="E183" s="3"/>
      <c r="F183" s="9"/>
      <c r="G183" s="3"/>
      <c r="H183" s="3"/>
      <c r="I183" s="6" t="s">
        <v>907</v>
      </c>
      <c r="J183" s="6" t="s">
        <v>40</v>
      </c>
      <c r="K183" s="7"/>
    </row>
    <row r="184" s="2" customFormat="1" spans="1:11">
      <c r="A184" s="3" t="s">
        <v>362</v>
      </c>
      <c r="B184" s="8">
        <f>SUBTOTAL(103,$A$1:A184)-1</f>
        <v>183</v>
      </c>
      <c r="C184" s="3" t="s">
        <v>77</v>
      </c>
      <c r="D184" s="9" t="s">
        <v>195</v>
      </c>
      <c r="E184" s="3"/>
      <c r="F184" s="9"/>
      <c r="G184" s="3"/>
      <c r="H184" s="3"/>
      <c r="I184" s="6" t="s">
        <v>267</v>
      </c>
      <c r="J184" s="6" t="s">
        <v>40</v>
      </c>
      <c r="K184" s="7"/>
    </row>
    <row r="185" s="2" customFormat="1" spans="1:11">
      <c r="A185" s="3" t="s">
        <v>314</v>
      </c>
      <c r="B185" s="8">
        <f>SUBTOTAL(103,$A$1:A185)-1</f>
        <v>184</v>
      </c>
      <c r="C185" s="3"/>
      <c r="D185" s="9"/>
      <c r="E185" s="3"/>
      <c r="F185" s="9"/>
      <c r="G185" s="3"/>
      <c r="H185" s="3"/>
      <c r="I185" s="6" t="s">
        <v>318</v>
      </c>
      <c r="J185" s="6"/>
      <c r="K185" s="7"/>
    </row>
    <row r="186" s="2" customFormat="1" spans="1:11">
      <c r="A186" s="3" t="s">
        <v>314</v>
      </c>
      <c r="B186" s="8">
        <f>SUBTOTAL(103,$A$1:A186)-1</f>
        <v>185</v>
      </c>
      <c r="C186" s="3"/>
      <c r="D186" s="9"/>
      <c r="E186" s="3"/>
      <c r="F186" s="9"/>
      <c r="G186" s="3"/>
      <c r="H186" s="3"/>
      <c r="I186" s="6" t="s">
        <v>908</v>
      </c>
      <c r="J186" s="6"/>
      <c r="K186" s="7"/>
    </row>
    <row r="187" s="2" customFormat="1" spans="1:11">
      <c r="A187" s="3" t="s">
        <v>314</v>
      </c>
      <c r="B187" s="8">
        <f>SUBTOTAL(103,$A$1:A187)-1</f>
        <v>186</v>
      </c>
      <c r="C187" s="3"/>
      <c r="D187" s="9"/>
      <c r="E187" s="3"/>
      <c r="F187" s="9"/>
      <c r="G187" s="3"/>
      <c r="H187" s="3"/>
      <c r="I187" s="6" t="s">
        <v>909</v>
      </c>
      <c r="J187" s="6"/>
      <c r="K187" s="7"/>
    </row>
    <row r="188" s="2" customFormat="1" spans="1:11">
      <c r="A188" s="3" t="s">
        <v>314</v>
      </c>
      <c r="B188" s="8">
        <f>SUBTOTAL(103,$A$1:A188)-1</f>
        <v>187</v>
      </c>
      <c r="C188" s="3"/>
      <c r="D188" s="9"/>
      <c r="E188" s="3"/>
      <c r="F188" s="9"/>
      <c r="G188" s="3"/>
      <c r="H188" s="3"/>
      <c r="I188" s="6" t="s">
        <v>910</v>
      </c>
      <c r="J188" s="6"/>
      <c r="K188" s="7"/>
    </row>
    <row r="189" s="2" customFormat="1" spans="1:11">
      <c r="A189" s="3" t="s">
        <v>314</v>
      </c>
      <c r="B189" s="8">
        <f>SUBTOTAL(103,$A$1:A189)-1</f>
        <v>188</v>
      </c>
      <c r="C189" s="3"/>
      <c r="D189" s="9"/>
      <c r="E189" s="3"/>
      <c r="F189" s="9"/>
      <c r="G189" s="3"/>
      <c r="H189" s="3"/>
      <c r="I189" s="6" t="s">
        <v>911</v>
      </c>
      <c r="J189" s="6"/>
      <c r="K189" s="7"/>
    </row>
    <row r="190" s="2" customFormat="1" spans="1:11">
      <c r="A190" s="3" t="s">
        <v>314</v>
      </c>
      <c r="B190" s="8">
        <f>SUBTOTAL(103,$A$1:A190)-1</f>
        <v>189</v>
      </c>
      <c r="C190" s="3"/>
      <c r="D190" s="9"/>
      <c r="E190" s="3"/>
      <c r="F190" s="9"/>
      <c r="G190" s="3"/>
      <c r="H190" s="3"/>
      <c r="I190" s="6" t="s">
        <v>337</v>
      </c>
      <c r="J190" s="6"/>
      <c r="K190" s="7"/>
    </row>
    <row r="191" s="2" customFormat="1" spans="1:11">
      <c r="A191" s="3" t="s">
        <v>904</v>
      </c>
      <c r="B191" s="8">
        <f>SUBTOTAL(103,$A$1:A191)-1</f>
        <v>190</v>
      </c>
      <c r="C191" s="3"/>
      <c r="D191" s="9"/>
      <c r="E191" s="3"/>
      <c r="F191" s="9"/>
      <c r="G191" s="3"/>
      <c r="H191" s="3"/>
      <c r="I191" s="6" t="s">
        <v>912</v>
      </c>
      <c r="J191" s="6"/>
      <c r="K191" s="7"/>
    </row>
    <row r="192" s="2" customFormat="1" spans="1:11">
      <c r="A192" s="3" t="s">
        <v>314</v>
      </c>
      <c r="B192" s="8">
        <f>SUBTOTAL(103,$A$1:A192)-1</f>
        <v>191</v>
      </c>
      <c r="C192" s="3"/>
      <c r="D192" s="9"/>
      <c r="E192" s="3"/>
      <c r="F192" s="9"/>
      <c r="G192" s="3"/>
      <c r="H192" s="3"/>
      <c r="I192" s="6" t="s">
        <v>361</v>
      </c>
      <c r="J192" s="6"/>
      <c r="K192" s="7"/>
    </row>
    <row r="193" s="2" customFormat="1" spans="1:11">
      <c r="A193" s="3" t="s">
        <v>314</v>
      </c>
      <c r="B193" s="8">
        <f>SUBTOTAL(103,$A$1:A193)-1</f>
        <v>192</v>
      </c>
      <c r="C193" s="3"/>
      <c r="D193" s="9"/>
      <c r="E193" s="3"/>
      <c r="F193" s="9"/>
      <c r="G193" s="3"/>
      <c r="H193" s="3"/>
      <c r="I193" s="6" t="s">
        <v>913</v>
      </c>
      <c r="J193" s="6"/>
      <c r="K193" s="7"/>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��t^,{1c[�^t^,{2c[�^
</file>

<file path=customXml/item2.xml>��
</file>

<file path=customXml/item3.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WWO_wpscloud_20260320220154-fb57003c44</Application>
  <HeadingPairs>
    <vt:vector size="2" baseType="variant">
      <vt:variant>
        <vt:lpstr>工作表</vt:lpstr>
      </vt:variant>
      <vt:variant>
        <vt:i4>7</vt:i4>
      </vt:variant>
    </vt:vector>
  </HeadingPairs>
  <TitlesOfParts>
    <vt:vector size="7" baseType="lpstr">
      <vt:lpstr>研究</vt:lpstr>
      <vt:lpstr>课题创新点</vt:lpstr>
      <vt:lpstr>开发</vt:lpstr>
      <vt:lpstr>生产</vt:lpstr>
      <vt:lpstr>下拉菜单</vt:lpstr>
      <vt:lpstr>组案反馈单涉及课题-删减版</vt:lpstr>
      <vt:lpstr>数据备份-1030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黑土豆</cp:lastModifiedBy>
  <dcterms:created xsi:type="dcterms:W3CDTF">2024-06-18T22:21:00Z</dcterms:created>
  <dcterms:modified xsi:type="dcterms:W3CDTF">2026-04-07T08:40:16Z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E996FAF6B4539BA13E541B6777080BC0_43</vt:lpwstr>
  </property>
  <property fmtid="{D5CDD505-2E9C-101B-9397-08002B2CF9AE}" pid="3" name="KSOProductBuildVer">
    <vt:lpwstr>2052-12.1.24031.24031</vt:lpwstr>
  </property>
  <property fmtid="{D5CDD505-2E9C-101B-9397-08002B2CF9AE}" pid="4" name="KSOReadingLayout">
    <vt:bool>true</vt:bool>
  </property>
  <property fmtid="{D5CDD505-2E9C-101B-9397-08002B2CF9AE}" pid="5" name="CalculationRule">
    <vt:i4>0</vt:i4>
  </property>
</Properties>
</file>